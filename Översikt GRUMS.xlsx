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46219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46219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46219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46219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46219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46219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46219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46219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46219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46219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46219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46219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46219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s="2" t="inlineStr">
        <is>
          <t>Björksplintborre
Bronshjon</t>
        </is>
      </c>
      <c r="V14">
        <f>HYPERLINK("https://klasma.github.io/Logging_1764/artfynd/A 66053-2021 artfynd.xlsx", "A 66053-2021")</f>
        <v/>
      </c>
      <c r="W14">
        <f>HYPERLINK("https://klasma.github.io/Logging_1764/kartor/A 66053-2021 karta.png", "A 66053-2021")</f>
        <v/>
      </c>
      <c r="Y14">
        <f>HYPERLINK("https://klasma.github.io/Logging_1764/klagomål/A 66053-2021 FSC-klagomål.docx", "A 66053-2021")</f>
        <v/>
      </c>
      <c r="Z14">
        <f>HYPERLINK("https://klasma.github.io/Logging_1764/klagomålsmail/A 66053-2021 FSC-klagomål mail.docx", "A 66053-2021")</f>
        <v/>
      </c>
      <c r="AA14">
        <f>HYPERLINK("https://klasma.github.io/Logging_1764/tillsyn/A 66053-2021 tillsynsbegäran.docx", "A 66053-2021")</f>
        <v/>
      </c>
      <c r="AB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46219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s="2" t="inlineStr">
        <is>
          <t>Ask
Tjäder</t>
        </is>
      </c>
      <c r="V15">
        <f>HYPERLINK("https://klasma.github.io/Logging_1764/artfynd/A 5280-2022 artfynd.xlsx", "A 5280-2022")</f>
        <v/>
      </c>
      <c r="W15">
        <f>HYPERLINK("https://klasma.github.io/Logging_1764/kartor/A 5280-2022 karta.png", "A 5280-2022")</f>
        <v/>
      </c>
      <c r="Y15">
        <f>HYPERLINK("https://klasma.github.io/Logging_1764/klagomål/A 5280-2022 FSC-klagomål.docx", "A 5280-2022")</f>
        <v/>
      </c>
      <c r="Z15">
        <f>HYPERLINK("https://klasma.github.io/Logging_1764/klagomålsmail/A 5280-2022 FSC-klagomål mail.docx", "A 5280-2022")</f>
        <v/>
      </c>
      <c r="AA15">
        <f>HYPERLINK("https://klasma.github.io/Logging_1764/tillsyn/A 5280-2022 tillsynsbegäran.docx", "A 5280-2022")</f>
        <v/>
      </c>
      <c r="AB15">
        <f>HYPERLINK("https://klasma.github.io/Logging_1764/tillsynsmail/A 5280-2022 tillsynsbegäran mail.docx", "A 5280-2022")</f>
        <v/>
      </c>
      <c r="AC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46219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Fläcknycklar</t>
        </is>
      </c>
      <c r="V16">
        <f>HYPERLINK("https://klasma.github.io/Logging_1764/artfynd/A 54042-2021 artfynd.xlsx", "A 54042-2021")</f>
        <v/>
      </c>
      <c r="W16">
        <f>HYPERLINK("https://klasma.github.io/Logging_1764/kartor/A 54042-2021 karta.png", "A 54042-2021")</f>
        <v/>
      </c>
      <c r="Y16">
        <f>HYPERLINK("https://klasma.github.io/Logging_1764/klagomål/A 54042-2021 FSC-klagomål.docx", "A 54042-2021")</f>
        <v/>
      </c>
      <c r="Z16">
        <f>HYPERLINK("https://klasma.github.io/Logging_1764/klagomålsmail/A 54042-2021 FSC-klagomål mail.docx", "A 54042-2021")</f>
        <v/>
      </c>
      <c r="AA16">
        <f>HYPERLINK("https://klasma.github.io/Logging_1764/tillsyn/A 54042-2021 tillsynsbegäran.docx", "A 54042-2021")</f>
        <v/>
      </c>
      <c r="AB16">
        <f>HYPERLINK("https://klasma.github.io/Logging_1764/tillsynsmail/A 54042-2021 tillsynsbegäran mail.docx", "A 54042-2021")</f>
        <v/>
      </c>
      <c r="AC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46219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Vågfibbla
Rönnfibbla</t>
        </is>
      </c>
      <c r="V17">
        <f>HYPERLINK("https://klasma.github.io/Logging_1764/artfynd/A 56386-2022 artfynd.xlsx", "A 56386-2022")</f>
        <v/>
      </c>
      <c r="W17">
        <f>HYPERLINK("https://klasma.github.io/Logging_1764/kartor/A 56386-2022 karta.png", "A 56386-2022")</f>
        <v/>
      </c>
      <c r="Y17">
        <f>HYPERLINK("https://klasma.github.io/Logging_1764/klagomål/A 56386-2022 FSC-klagomål.docx", "A 56386-2022")</f>
        <v/>
      </c>
      <c r="Z17">
        <f>HYPERLINK("https://klasma.github.io/Logging_1764/klagomålsmail/A 56386-2022 FSC-klagomål mail.docx", "A 56386-2022")</f>
        <v/>
      </c>
      <c r="AA17">
        <f>HYPERLINK("https://klasma.github.io/Logging_1764/tillsyn/A 56386-2022 tillsynsbegäran.docx", "A 56386-2022")</f>
        <v/>
      </c>
      <c r="AB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46219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s="2" t="inlineStr">
        <is>
          <t>Jungfrulin
Skogsklocka</t>
        </is>
      </c>
      <c r="V18">
        <f>HYPERLINK("https://klasma.github.io/Logging_1764/artfynd/A 57233-2023 artfynd.xlsx", "A 57233-2023")</f>
        <v/>
      </c>
      <c r="W18">
        <f>HYPERLINK("https://klasma.github.io/Logging_1764/kartor/A 57233-2023 karta.png", "A 57233-2023")</f>
        <v/>
      </c>
      <c r="Y18">
        <f>HYPERLINK("https://klasma.github.io/Logging_1764/klagomål/A 57233-2023 FSC-klagomål.docx", "A 57233-2023")</f>
        <v/>
      </c>
      <c r="Z18">
        <f>HYPERLINK("https://klasma.github.io/Logging_1764/klagomålsmail/A 57233-2023 FSC-klagomål mail.docx", "A 57233-2023")</f>
        <v/>
      </c>
      <c r="AA18">
        <f>HYPERLINK("https://klasma.github.io/Logging_1764/tillsyn/A 57233-2023 tillsynsbegäran.docx", "A 57233-2023")</f>
        <v/>
      </c>
      <c r="AB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46219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46219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46219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46219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46219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46219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19524-2024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46219</v>
      </c>
      <c r="F25" t="inlineStr">
        <is>
          <t>VÄRMLANDS LÄN</t>
        </is>
      </c>
      <c r="G25" t="inlineStr">
        <is>
          <t>GRUMS</t>
        </is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Sädesärla</t>
        </is>
      </c>
      <c r="V25">
        <f>HYPERLINK("https://klasma.github.io/Logging_1764/artfynd/A 19524-2024 artfynd.xlsx", "A 19524-2024")</f>
        <v/>
      </c>
      <c r="W25">
        <f>HYPERLINK("https://klasma.github.io/Logging_1764/kartor/A 19524-2024 karta.png", "A 19524-2024")</f>
        <v/>
      </c>
      <c r="Y25">
        <f>HYPERLINK("https://klasma.github.io/Logging_1764/klagomål/A 19524-2024 FSC-klagomål.docx", "A 19524-2024")</f>
        <v/>
      </c>
      <c r="Z25">
        <f>HYPERLINK("https://klasma.github.io/Logging_1764/klagomålsmail/A 19524-2024 FSC-klagomål mail.docx", "A 19524-2024")</f>
        <v/>
      </c>
      <c r="AA25">
        <f>HYPERLINK("https://klasma.github.io/Logging_1764/tillsyn/A 19524-2024 tillsynsbegäran.docx", "A 19524-2024")</f>
        <v/>
      </c>
      <c r="AB25">
        <f>HYPERLINK("https://klasma.github.io/Logging_1764/tillsynsmail/A 19524-2024 tillsynsbegäran mail.docx", "A 19524-2024")</f>
        <v/>
      </c>
      <c r="AC25">
        <f>HYPERLINK("https://klasma.github.io/Logging_1764/fåglar/A 19524-2024 prioriterade fågelarter.docx", "A 19524-2024")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46219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Skogsklocka</t>
        </is>
      </c>
      <c r="V26">
        <f>HYPERLINK("https://klasma.github.io/Logging_1764/artfynd/A 37339-2022 artfynd.xlsx", "A 37339-2022")</f>
        <v/>
      </c>
      <c r="W26">
        <f>HYPERLINK("https://klasma.github.io/Logging_1764/kartor/A 37339-2022 karta.png", "A 37339-2022")</f>
        <v/>
      </c>
      <c r="Y26">
        <f>HYPERLINK("https://klasma.github.io/Logging_1764/klagomål/A 37339-2022 FSC-klagomål.docx", "A 37339-2022")</f>
        <v/>
      </c>
      <c r="Z26">
        <f>HYPERLINK("https://klasma.github.io/Logging_1764/klagomålsmail/A 37339-2022 FSC-klagomål mail.docx", "A 37339-2022")</f>
        <v/>
      </c>
      <c r="AA26">
        <f>HYPERLINK("https://klasma.github.io/Logging_1764/tillsyn/A 37339-2022 tillsynsbegäran.docx", "A 37339-2022")</f>
        <v/>
      </c>
      <c r="AB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46219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Kråka</t>
        </is>
      </c>
      <c r="V27">
        <f>HYPERLINK("https://klasma.github.io/Logging_1764/artfynd/A 10647-2024 artfynd.xlsx", "A 10647-2024")</f>
        <v/>
      </c>
      <c r="W27">
        <f>HYPERLINK("https://klasma.github.io/Logging_1764/kartor/A 10647-2024 karta.png", "A 10647-2024")</f>
        <v/>
      </c>
      <c r="Y27">
        <f>HYPERLINK("https://klasma.github.io/Logging_1764/klagomål/A 10647-2024 FSC-klagomål.docx", "A 10647-2024")</f>
        <v/>
      </c>
      <c r="Z27">
        <f>HYPERLINK("https://klasma.github.io/Logging_1764/klagomålsmail/A 10647-2024 FSC-klagomål mail.docx", "A 10647-2024")</f>
        <v/>
      </c>
      <c r="AA27">
        <f>HYPERLINK("https://klasma.github.io/Logging_1764/tillsyn/A 10647-2024 tillsynsbegäran.docx", "A 10647-2024")</f>
        <v/>
      </c>
      <c r="AB27">
        <f>HYPERLINK("https://klasma.github.io/Logging_1764/tillsynsmail/A 10647-2024 tillsynsbegäran mail.docx", "A 10647-2024")</f>
        <v/>
      </c>
    </row>
    <row r="28" ht="15" customHeight="1">
      <c r="A28" t="inlineStr">
        <is>
          <t>A 7931-2025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46219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HYPERLINK("https://klasma.github.io/Logging_1764/artfynd/A 7931-2025 artfynd.xlsx", "A 7931-2025")</f>
        <v/>
      </c>
      <c r="W28">
        <f>HYPERLINK("https://klasma.github.io/Logging_1764/kartor/A 7931-2025 karta.png", "A 7931-2025")</f>
        <v/>
      </c>
      <c r="Y28">
        <f>HYPERLINK("https://klasma.github.io/Logging_1764/klagomål/A 7931-2025 FSC-klagomål.docx", "A 7931-2025")</f>
        <v/>
      </c>
      <c r="Z28">
        <f>HYPERLINK("https://klasma.github.io/Logging_1764/klagomålsmail/A 7931-2025 FSC-klagomål mail.docx", "A 7931-2025")</f>
        <v/>
      </c>
      <c r="AA28">
        <f>HYPERLINK("https://klasma.github.io/Logging_1764/tillsyn/A 7931-2025 tillsynsbegäran.docx", "A 7931-2025")</f>
        <v/>
      </c>
      <c r="AB28">
        <f>HYPERLINK("https://klasma.github.io/Logging_1764/tillsynsmail/A 7931-2025 tillsynsbegäran mail.docx", "A 7931-2025")</f>
        <v/>
      </c>
    </row>
    <row r="29" ht="15" customHeight="1">
      <c r="A29" t="inlineStr">
        <is>
          <t>A 15321-2023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46219</v>
      </c>
      <c r="F29" t="inlineStr">
        <is>
          <t>VÄRMLANDS LÄN</t>
        </is>
      </c>
      <c r="G29" t="inlineStr">
        <is>
          <t>GRUMS</t>
        </is>
      </c>
      <c r="I29" t="n">
        <v>5.2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Vätteros</t>
        </is>
      </c>
      <c r="V29">
        <f>HYPERLINK("https://klasma.github.io/Logging_1764/artfynd/A 15321-2023 artfynd.xlsx", "A 15321-2023")</f>
        <v/>
      </c>
      <c r="W29">
        <f>HYPERLINK("https://klasma.github.io/Logging_1764/kartor/A 15321-2023 karta.png", "A 15321-2023")</f>
        <v/>
      </c>
      <c r="Y29">
        <f>HYPERLINK("https://klasma.github.io/Logging_1764/klagomål/A 15321-2023 FSC-klagomål.docx", "A 15321-2023")</f>
        <v/>
      </c>
      <c r="Z29">
        <f>HYPERLINK("https://klasma.github.io/Logging_1764/klagomålsmail/A 15321-2023 FSC-klagomål mail.docx", "A 15321-2023")</f>
        <v/>
      </c>
      <c r="AA29">
        <f>HYPERLINK("https://klasma.github.io/Logging_1764/tillsyn/A 15321-2023 tillsynsbegäran.docx", "A 15321-2023")</f>
        <v/>
      </c>
      <c r="AB29">
        <f>HYPERLINK("https://klasma.github.io/Logging_1764/tillsynsmail/A 15321-2023 tillsynsbegäran mail.docx", "A 15321-2023")</f>
        <v/>
      </c>
    </row>
    <row r="30" ht="15" customHeight="1">
      <c r="A30" t="inlineStr">
        <is>
          <t>A 13121-2023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45002</v>
      </c>
      <c r="E30" s="1" t="n">
        <v>46219</v>
      </c>
      <c r="F30" t="inlineStr">
        <is>
          <t>VÄRMLANDS LÄN</t>
        </is>
      </c>
      <c r="G30" t="inlineStr">
        <is>
          <t>GRUMS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HYPERLINK("https://klasma.github.io/Logging_1764/artfynd/A 13121-2023 artfynd.xlsx", "A 13121-2023")</f>
        <v/>
      </c>
      <c r="W30">
        <f>HYPERLINK("https://klasma.github.io/Logging_1764/kartor/A 13121-2023 karta.png", "A 13121-2023")</f>
        <v/>
      </c>
      <c r="Y30">
        <f>HYPERLINK("https://klasma.github.io/Logging_1764/klagomål/A 13121-2023 FSC-klagomål.docx", "A 13121-2023")</f>
        <v/>
      </c>
      <c r="Z30">
        <f>HYPERLINK("https://klasma.github.io/Logging_1764/klagomålsmail/A 13121-2023 FSC-klagomål mail.docx", "A 13121-2023")</f>
        <v/>
      </c>
      <c r="AA30">
        <f>HYPERLINK("https://klasma.github.io/Logging_1764/tillsyn/A 13121-2023 tillsynsbegäran.docx", "A 13121-2023")</f>
        <v/>
      </c>
      <c r="AB30">
        <f>HYPERLINK("https://klasma.github.io/Logging_1764/tillsynsmail/A 13121-2023 tillsynsbegäran mail.docx", "A 13121-2023")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46219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Duvhök</t>
        </is>
      </c>
      <c r="V31">
        <f>HYPERLINK("https://klasma.github.io/Logging_1764/artfynd/A 47146-2025 artfynd.xlsx", "A 47146-2025")</f>
        <v/>
      </c>
      <c r="W31">
        <f>HYPERLINK("https://klasma.github.io/Logging_1764/kartor/A 47146-2025 karta.png", "A 47146-2025")</f>
        <v/>
      </c>
      <c r="Y31">
        <f>HYPERLINK("https://klasma.github.io/Logging_1764/klagomål/A 47146-2025 FSC-klagomål.docx", "A 47146-2025")</f>
        <v/>
      </c>
      <c r="Z31">
        <f>HYPERLINK("https://klasma.github.io/Logging_1764/klagomålsmail/A 47146-2025 FSC-klagomål mail.docx", "A 47146-2025")</f>
        <v/>
      </c>
      <c r="AA31">
        <f>HYPERLINK("https://klasma.github.io/Logging_1764/tillsyn/A 47146-2025 tillsynsbegäran.docx", "A 47146-2025")</f>
        <v/>
      </c>
      <c r="AB31">
        <f>HYPERLINK("https://klasma.github.io/Logging_1764/tillsynsmail/A 47146-2025 tillsynsbegäran mail.docx", "A 47146-2025")</f>
        <v/>
      </c>
      <c r="AC31">
        <f>HYPERLINK("https://klasma.github.io/Logging_1764/fåglar/A 47146-2025 prioriterade fågelarter.docx", "A 47146-2025")</f>
        <v/>
      </c>
    </row>
    <row r="32" ht="15" customHeight="1">
      <c r="A32" t="inlineStr">
        <is>
          <t>A 41878-2024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45561</v>
      </c>
      <c r="E32" s="1" t="n">
        <v>46219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Göktyta</t>
        </is>
      </c>
      <c r="V32">
        <f>HYPERLINK("https://klasma.github.io/Logging_1764/artfynd/A 41878-2024 artfynd.xlsx", "A 41878-2024")</f>
        <v/>
      </c>
      <c r="W32">
        <f>HYPERLINK("https://klasma.github.io/Logging_1764/kartor/A 41878-2024 karta.png", "A 41878-2024")</f>
        <v/>
      </c>
      <c r="Y32">
        <f>HYPERLINK("https://klasma.github.io/Logging_1764/klagomål/A 41878-2024 FSC-klagomål.docx", "A 41878-2024")</f>
        <v/>
      </c>
      <c r="Z32">
        <f>HYPERLINK("https://klasma.github.io/Logging_1764/klagomålsmail/A 41878-2024 FSC-klagomål mail.docx", "A 41878-2024")</f>
        <v/>
      </c>
      <c r="AA32">
        <f>HYPERLINK("https://klasma.github.io/Logging_1764/tillsyn/A 41878-2024 tillsynsbegäran.docx", "A 41878-2024")</f>
        <v/>
      </c>
      <c r="AB32">
        <f>HYPERLINK("https://klasma.github.io/Logging_1764/tillsynsmail/A 41878-2024 tillsynsbegäran mail.docx", "A 41878-2024")</f>
        <v/>
      </c>
      <c r="AC32">
        <f>HYPERLINK("https://klasma.github.io/Logging_1764/fåglar/A 41878-2024 prioriterade fågelarter.docx", "A 41878-2024")</f>
        <v/>
      </c>
    </row>
    <row r="33" ht="15" customHeight="1">
      <c r="A33" t="inlineStr">
        <is>
          <t>A 17122-2024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45412</v>
      </c>
      <c r="E33" s="1" t="n">
        <v>46219</v>
      </c>
      <c r="F33" t="inlineStr">
        <is>
          <t>VÄRMLANDS LÄN</t>
        </is>
      </c>
      <c r="G33" t="inlineStr">
        <is>
          <t>GRUMS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Skogsklocka</t>
        </is>
      </c>
      <c r="V33">
        <f>HYPERLINK("https://klasma.github.io/Logging_1764/artfynd/A 17122-2024 artfynd.xlsx", "A 17122-2024")</f>
        <v/>
      </c>
      <c r="W33">
        <f>HYPERLINK("https://klasma.github.io/Logging_1764/kartor/A 17122-2024 karta.png", "A 17122-2024")</f>
        <v/>
      </c>
      <c r="Y33">
        <f>HYPERLINK("https://klasma.github.io/Logging_1764/klagomål/A 17122-2024 FSC-klagomål.docx", "A 17122-2024")</f>
        <v/>
      </c>
      <c r="Z33">
        <f>HYPERLINK("https://klasma.github.io/Logging_1764/klagomålsmail/A 17122-2024 FSC-klagomål mail.docx", "A 17122-2024")</f>
        <v/>
      </c>
      <c r="AA33">
        <f>HYPERLINK("https://klasma.github.io/Logging_1764/tillsyn/A 17122-2024 tillsynsbegäran.docx", "A 17122-2024")</f>
        <v/>
      </c>
      <c r="AB33">
        <f>HYPERLINK("https://klasma.github.io/Logging_1764/tillsynsmail/A 17122-2024 tillsynsbegäran mail.docx", "A 17122-2024")</f>
        <v/>
      </c>
    </row>
    <row r="34" ht="15" customHeight="1">
      <c r="A34" t="inlineStr">
        <is>
          <t>A 29582-2024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45484</v>
      </c>
      <c r="E34" s="1" t="n">
        <v>46219</v>
      </c>
      <c r="F34" t="inlineStr">
        <is>
          <t>VÄRMLANDS LÄN</t>
        </is>
      </c>
      <c r="G34" t="inlineStr">
        <is>
          <t>GRUMS</t>
        </is>
      </c>
      <c r="H34" t="inlineStr">
        <is>
          <t>Bergvik skog väst AB</t>
        </is>
      </c>
      <c r="I34" t="n">
        <v>3.1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HYPERLINK("https://klasma.github.io/Logging_1764/artfynd/A 29582-2024 artfynd.xlsx", "A 29582-2024")</f>
        <v/>
      </c>
      <c r="W34">
        <f>HYPERLINK("https://klasma.github.io/Logging_1764/kartor/A 29582-2024 karta.png", "A 29582-2024")</f>
        <v/>
      </c>
      <c r="Y34">
        <f>HYPERLINK("https://klasma.github.io/Logging_1764/klagomål/A 29582-2024 FSC-klagomål.docx", "A 29582-2024")</f>
        <v/>
      </c>
      <c r="Z34">
        <f>HYPERLINK("https://klasma.github.io/Logging_1764/klagomålsmail/A 29582-2024 FSC-klagomål mail.docx", "A 29582-2024")</f>
        <v/>
      </c>
      <c r="AA34">
        <f>HYPERLINK("https://klasma.github.io/Logging_1764/tillsyn/A 29582-2024 tillsynsbegäran.docx", "A 29582-2024")</f>
        <v/>
      </c>
      <c r="AB34">
        <f>HYPERLINK("https://klasma.github.io/Logging_1764/tillsynsmail/A 29582-2024 tillsynsbegäran mail.docx", "A 29582-2024")</f>
        <v/>
      </c>
    </row>
    <row r="35" ht="15" customHeight="1">
      <c r="A35" t="inlineStr">
        <is>
          <t>A 62675-2023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45271</v>
      </c>
      <c r="E35" s="1" t="n">
        <v>46219</v>
      </c>
      <c r="F35" t="inlineStr">
        <is>
          <t>VÄRMLANDS LÄN</t>
        </is>
      </c>
      <c r="G35" t="inlineStr">
        <is>
          <t>GRUMS</t>
        </is>
      </c>
      <c r="I35" t="n">
        <v>3.4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Svart trolldruva</t>
        </is>
      </c>
      <c r="V35">
        <f>HYPERLINK("https://klasma.github.io/Logging_1764/artfynd/A 62675-2023 artfynd.xlsx", "A 62675-2023")</f>
        <v/>
      </c>
      <c r="W35">
        <f>HYPERLINK("https://klasma.github.io/Logging_1764/kartor/A 62675-2023 karta.png", "A 62675-2023")</f>
        <v/>
      </c>
      <c r="Y35">
        <f>HYPERLINK("https://klasma.github.io/Logging_1764/klagomål/A 62675-2023 FSC-klagomål.docx", "A 62675-2023")</f>
        <v/>
      </c>
      <c r="Z35">
        <f>HYPERLINK("https://klasma.github.io/Logging_1764/klagomålsmail/A 62675-2023 FSC-klagomål mail.docx", "A 62675-2023")</f>
        <v/>
      </c>
      <c r="AA35">
        <f>HYPERLINK("https://klasma.github.io/Logging_1764/tillsyn/A 62675-2023 tillsynsbegäran.docx", "A 62675-2023")</f>
        <v/>
      </c>
      <c r="AB35">
        <f>HYPERLINK("https://klasma.github.io/Logging_1764/tillsynsmail/A 62675-2023 tillsynsbegäran mail.docx", "A 62675-2023")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46219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Mandelriska</t>
        </is>
      </c>
      <c r="V36">
        <f>HYPERLINK("https://klasma.github.io/Logging_1764/artfynd/A 8363-2025 artfynd.xlsx", "A 8363-2025")</f>
        <v/>
      </c>
      <c r="W36">
        <f>HYPERLINK("https://klasma.github.io/Logging_1764/kartor/A 8363-2025 karta.png", "A 8363-2025")</f>
        <v/>
      </c>
      <c r="Y36">
        <f>HYPERLINK("https://klasma.github.io/Logging_1764/klagomål/A 8363-2025 FSC-klagomål.docx", "A 8363-2025")</f>
        <v/>
      </c>
      <c r="Z36">
        <f>HYPERLINK("https://klasma.github.io/Logging_1764/klagomålsmail/A 8363-2025 FSC-klagomål mail.docx", "A 8363-2025")</f>
        <v/>
      </c>
      <c r="AA36">
        <f>HYPERLINK("https://klasma.github.io/Logging_1764/tillsyn/A 8363-2025 tillsynsbegäran.docx", "A 8363-2025")</f>
        <v/>
      </c>
      <c r="AB36">
        <f>HYPERLINK("https://klasma.github.io/Logging_1764/tillsynsmail/A 8363-2025 tillsynsbegäran mail.docx", "A 8363-2025")</f>
        <v/>
      </c>
    </row>
    <row r="37" ht="15" customHeight="1">
      <c r="A37" t="inlineStr">
        <is>
          <t>A 12296-2026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46087</v>
      </c>
      <c r="E37" s="1" t="n">
        <v>46219</v>
      </c>
      <c r="F37" t="inlineStr">
        <is>
          <t>VÄRMLANDS LÄN</t>
        </is>
      </c>
      <c r="G37" t="inlineStr">
        <is>
          <t>GRUMS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Skogsklocka</t>
        </is>
      </c>
      <c r="V37">
        <f>HYPERLINK("https://klasma.github.io/Logging_1764/artfynd/A 12296-2026 artfynd.xlsx", "A 12296-2026")</f>
        <v/>
      </c>
      <c r="W37">
        <f>HYPERLINK("https://klasma.github.io/Logging_1764/kartor/A 12296-2026 karta.png", "A 12296-2026")</f>
        <v/>
      </c>
      <c r="Y37">
        <f>HYPERLINK("https://klasma.github.io/Logging_1764/klagomål/A 12296-2026 FSC-klagomål.docx", "A 12296-2026")</f>
        <v/>
      </c>
      <c r="Z37">
        <f>HYPERLINK("https://klasma.github.io/Logging_1764/klagomålsmail/A 12296-2026 FSC-klagomål mail.docx", "A 12296-2026")</f>
        <v/>
      </c>
      <c r="AA37">
        <f>HYPERLINK("https://klasma.github.io/Logging_1764/tillsyn/A 12296-2026 tillsynsbegäran.docx", "A 12296-2026")</f>
        <v/>
      </c>
      <c r="AB37">
        <f>HYPERLINK("https://klasma.github.io/Logging_1764/tillsynsmail/A 12296-2026 tillsynsbegäran mail.docx", "A 12296-2026")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46219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Knärot</t>
        </is>
      </c>
      <c r="V38">
        <f>HYPERLINK("https://klasma.github.io/Logging_1764/artfynd/A 35077-2024 artfynd.xlsx", "A 35077-2024")</f>
        <v/>
      </c>
      <c r="W38">
        <f>HYPERLINK("https://klasma.github.io/Logging_1764/kartor/A 35077-2024 karta.png", "A 35077-2024")</f>
        <v/>
      </c>
      <c r="X38">
        <f>HYPERLINK("https://klasma.github.io/Logging_1764/knärot/A 35077-2024 karta knärot.png", "A 35077-2024")</f>
        <v/>
      </c>
      <c r="Y38">
        <f>HYPERLINK("https://klasma.github.io/Logging_1764/klagomål/A 35077-2024 FSC-klagomål.docx", "A 35077-2024")</f>
        <v/>
      </c>
      <c r="Z38">
        <f>HYPERLINK("https://klasma.github.io/Logging_1764/klagomålsmail/A 35077-2024 FSC-klagomål mail.docx", "A 35077-2024")</f>
        <v/>
      </c>
      <c r="AA38">
        <f>HYPERLINK("https://klasma.github.io/Logging_1764/tillsyn/A 35077-2024 tillsynsbegäran.docx", "A 35077-2024")</f>
        <v/>
      </c>
      <c r="AB38">
        <f>HYPERLINK("https://klasma.github.io/Logging_1764/tillsynsmail/A 35077-2024 tillsynsbegäran mail.docx", "A 35077-2024")</f>
        <v/>
      </c>
    </row>
    <row r="39" ht="15" customHeight="1">
      <c r="A39" t="inlineStr">
        <is>
          <t>A 30411-2025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46219</v>
      </c>
      <c r="F39" t="inlineStr">
        <is>
          <t>VÄRMLANDS LÄN</t>
        </is>
      </c>
      <c r="G39" t="inlineStr">
        <is>
          <t>GRUMS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Fläcknycklar</t>
        </is>
      </c>
      <c r="V39">
        <f>HYPERLINK("https://klasma.github.io/Logging_1764/artfynd/A 30411-2025 artfynd.xlsx", "A 30411-2025")</f>
        <v/>
      </c>
      <c r="W39">
        <f>HYPERLINK("https://klasma.github.io/Logging_1764/kartor/A 30411-2025 karta.png", "A 30411-2025")</f>
        <v/>
      </c>
      <c r="Y39">
        <f>HYPERLINK("https://klasma.github.io/Logging_1764/klagomål/A 30411-2025 FSC-klagomål.docx", "A 30411-2025")</f>
        <v/>
      </c>
      <c r="Z39">
        <f>HYPERLINK("https://klasma.github.io/Logging_1764/klagomålsmail/A 30411-2025 FSC-klagomål mail.docx", "A 30411-2025")</f>
        <v/>
      </c>
      <c r="AA39">
        <f>HYPERLINK("https://klasma.github.io/Logging_1764/tillsyn/A 30411-2025 tillsynsbegäran.docx", "A 30411-2025")</f>
        <v/>
      </c>
      <c r="AB39">
        <f>HYPERLINK("https://klasma.github.io/Logging_1764/tillsynsmail/A 30411-2025 tillsynsbegäran mail.docx", "A 30411-2025")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46219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46219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46219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46219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46219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46219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46219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46219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46219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46219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46219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46219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46219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46219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46219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46219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46219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46219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46219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46219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46219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46219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46219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46219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46219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46219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46219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46219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46219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7991-2024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45350</v>
      </c>
      <c r="E71" s="1" t="n">
        <v>46219</v>
      </c>
      <c r="F71" t="inlineStr">
        <is>
          <t>VÄRMLANDS LÄN</t>
        </is>
      </c>
      <c r="G71" t="inlineStr">
        <is>
          <t>GRUMS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18341-2025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45762</v>
      </c>
      <c r="E72" s="1" t="n">
        <v>46219</v>
      </c>
      <c r="F72" t="inlineStr">
        <is>
          <t>VÄRMLANDS LÄN</t>
        </is>
      </c>
      <c r="G72" t="inlineStr">
        <is>
          <t>GRUMS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46219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46219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37045-2022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46219</v>
      </c>
      <c r="F75" t="inlineStr">
        <is>
          <t>VÄRMLANDS LÄN</t>
        </is>
      </c>
      <c r="G75" t="inlineStr">
        <is>
          <t>GRUMS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59746-2021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46219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44963</v>
      </c>
      <c r="E77" s="1" t="n">
        <v>46219</v>
      </c>
      <c r="F77" t="inlineStr">
        <is>
          <t>VÄRMLANDS LÄN</t>
        </is>
      </c>
      <c r="G77" t="inlineStr">
        <is>
          <t>GRUMS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46219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44425</v>
      </c>
      <c r="E79" s="1" t="n">
        <v>46219</v>
      </c>
      <c r="F79" t="inlineStr">
        <is>
          <t>VÄRMLANDS LÄN</t>
        </is>
      </c>
      <c r="G79" t="inlineStr">
        <is>
          <t>GRUMS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30334-2022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46219</v>
      </c>
      <c r="F80" t="inlineStr">
        <is>
          <t>VÄRMLANDS LÄN</t>
        </is>
      </c>
      <c r="G80" t="inlineStr">
        <is>
          <t>GRUMS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43242-2021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46219</v>
      </c>
      <c r="F81" t="inlineStr">
        <is>
          <t>VÄRMLANDS LÄN</t>
        </is>
      </c>
      <c r="G81" t="inlineStr">
        <is>
          <t>GRUMS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44547</v>
      </c>
      <c r="E82" s="1" t="n">
        <v>46219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44956</v>
      </c>
      <c r="E83" s="1" t="n">
        <v>46219</v>
      </c>
      <c r="F83" t="inlineStr">
        <is>
          <t>VÄRMLANDS LÄN</t>
        </is>
      </c>
      <c r="G83" t="inlineStr">
        <is>
          <t>GRUMS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52842-2021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46219</v>
      </c>
      <c r="F84" t="inlineStr">
        <is>
          <t>VÄRMLANDS LÄN</t>
        </is>
      </c>
      <c r="G84" t="inlineStr">
        <is>
          <t>GRUMS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19753-2024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46219</v>
      </c>
      <c r="F85" t="inlineStr">
        <is>
          <t>VÄRMLANDS LÄN</t>
        </is>
      </c>
      <c r="G85" t="inlineStr">
        <is>
          <t>GRUMS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25694-2022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46219</v>
      </c>
      <c r="F86" t="inlineStr">
        <is>
          <t>VÄRMLANDS LÄN</t>
        </is>
      </c>
      <c r="G86" t="inlineStr">
        <is>
          <t>GRUMS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44577</v>
      </c>
      <c r="E87" s="1" t="n">
        <v>46219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51203-2021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46219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62947-2023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46219</v>
      </c>
      <c r="F89" t="inlineStr">
        <is>
          <t>VÄRMLANDS LÄN</t>
        </is>
      </c>
      <c r="G89" t="inlineStr">
        <is>
          <t>GRUMS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7993-2024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45350</v>
      </c>
      <c r="E90" s="1" t="n">
        <v>46219</v>
      </c>
      <c r="F90" t="inlineStr">
        <is>
          <t>VÄRMLANDS LÄN</t>
        </is>
      </c>
      <c r="G90" t="inlineStr">
        <is>
          <t>GRUMS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46219</v>
      </c>
      <c r="F91" t="inlineStr">
        <is>
          <t>VÄRMLANDS LÄN</t>
        </is>
      </c>
      <c r="G91" t="inlineStr">
        <is>
          <t>GRUMS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12311-2024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46219</v>
      </c>
      <c r="F92" t="inlineStr">
        <is>
          <t>VÄRMLANDS LÄN</t>
        </is>
      </c>
      <c r="G92" t="inlineStr">
        <is>
          <t>GRUMS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37486-2022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44809</v>
      </c>
      <c r="E93" s="1" t="n">
        <v>46219</v>
      </c>
      <c r="F93" t="inlineStr">
        <is>
          <t>VÄRMLANDS LÄN</t>
        </is>
      </c>
      <c r="G93" t="inlineStr">
        <is>
          <t>GRUMS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46219</v>
      </c>
      <c r="F94" t="inlineStr">
        <is>
          <t>VÄRMLANDS LÄN</t>
        </is>
      </c>
      <c r="G94" t="inlineStr">
        <is>
          <t>GRUMS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29762-2023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46219</v>
      </c>
      <c r="F95" t="inlineStr">
        <is>
          <t>VÄRMLANDS LÄN</t>
        </is>
      </c>
      <c r="G95" t="inlineStr">
        <is>
          <t>GRUMS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20238-2024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46219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21528-2024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46219</v>
      </c>
      <c r="F97" t="inlineStr">
        <is>
          <t>VÄRMLANDS LÄN</t>
        </is>
      </c>
      <c r="G97" t="inlineStr">
        <is>
          <t>GRUMS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55227-2023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46219</v>
      </c>
      <c r="F98" t="inlineStr">
        <is>
          <t>VÄRMLANDS LÄN</t>
        </is>
      </c>
      <c r="G98" t="inlineStr">
        <is>
          <t>GRUMS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19053-2024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45427</v>
      </c>
      <c r="E99" s="1" t="n">
        <v>46219</v>
      </c>
      <c r="F99" t="inlineStr">
        <is>
          <t>VÄRMLANDS LÄN</t>
        </is>
      </c>
      <c r="G99" t="inlineStr">
        <is>
          <t>GRUMS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9837-2023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46219</v>
      </c>
      <c r="F100" t="inlineStr">
        <is>
          <t>VÄRMLANDS LÄN</t>
        </is>
      </c>
      <c r="G100" t="inlineStr">
        <is>
          <t>GRUMS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46219</v>
      </c>
      <c r="F101" t="inlineStr">
        <is>
          <t>VÄRMLANDS LÄN</t>
        </is>
      </c>
      <c r="G101" t="inlineStr">
        <is>
          <t>GRUMS</t>
        </is>
      </c>
      <c r="I101" t="n">
        <v>13.7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23189-2024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46219</v>
      </c>
      <c r="F102" t="inlineStr">
        <is>
          <t>VÄRMLANDS LÄN</t>
        </is>
      </c>
      <c r="G102" t="inlineStr">
        <is>
          <t>GRUMS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29736-2023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46219</v>
      </c>
      <c r="F103" t="inlineStr">
        <is>
          <t>VÄRMLANDS LÄN</t>
        </is>
      </c>
      <c r="G103" t="inlineStr">
        <is>
          <t>GRUMS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46219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45670</v>
      </c>
      <c r="E105" s="1" t="n">
        <v>46219</v>
      </c>
      <c r="F105" t="inlineStr">
        <is>
          <t>VÄRMLANDS LÄN</t>
        </is>
      </c>
      <c r="G105" t="inlineStr">
        <is>
          <t>GRUMS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19052-2024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46219</v>
      </c>
      <c r="F106" t="inlineStr">
        <is>
          <t>VÄRMLANDS LÄN</t>
        </is>
      </c>
      <c r="G106" t="inlineStr">
        <is>
          <t>GRUMS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25840-2024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46219</v>
      </c>
      <c r="F107" t="inlineStr">
        <is>
          <t>VÄRMLANDS LÄN</t>
        </is>
      </c>
      <c r="G107" t="inlineStr">
        <is>
          <t>GRUMS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46219</v>
      </c>
      <c r="F108" t="inlineStr">
        <is>
          <t>VÄRMLANDS LÄN</t>
        </is>
      </c>
      <c r="G108" t="inlineStr">
        <is>
          <t>GRUMS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46219</v>
      </c>
      <c r="F109" t="inlineStr">
        <is>
          <t>VÄRMLANDS LÄN</t>
        </is>
      </c>
      <c r="G109" t="inlineStr">
        <is>
          <t>GRUMS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28228-2024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46219</v>
      </c>
      <c r="F110" t="inlineStr">
        <is>
          <t>VÄRMLANDS LÄN</t>
        </is>
      </c>
      <c r="G110" t="inlineStr">
        <is>
          <t>GRUMS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8361-2025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45708</v>
      </c>
      <c r="E111" s="1" t="n">
        <v>46219</v>
      </c>
      <c r="F111" t="inlineStr">
        <is>
          <t>VÄRMLANDS LÄN</t>
        </is>
      </c>
      <c r="G111" t="inlineStr">
        <is>
          <t>GRUMS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31964-2023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46219</v>
      </c>
      <c r="F112" t="inlineStr">
        <is>
          <t>VÄRMLANDS LÄN</t>
        </is>
      </c>
      <c r="G112" t="inlineStr">
        <is>
          <t>GRUMS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35253-2022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46219</v>
      </c>
      <c r="F113" t="inlineStr">
        <is>
          <t>VÄRMLANDS LÄN</t>
        </is>
      </c>
      <c r="G113" t="inlineStr">
        <is>
          <t>GRUMS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73033-2021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46219</v>
      </c>
      <c r="F114" t="inlineStr">
        <is>
          <t>VÄRMLANDS LÄN</t>
        </is>
      </c>
      <c r="G114" t="inlineStr">
        <is>
          <t>GRUMS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25014-2024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45461</v>
      </c>
      <c r="E115" s="1" t="n">
        <v>46219</v>
      </c>
      <c r="F115" t="inlineStr">
        <is>
          <t>VÄRMLANDS LÄN</t>
        </is>
      </c>
      <c r="G115" t="inlineStr">
        <is>
          <t>GRUMS</t>
        </is>
      </c>
      <c r="I115" t="n">
        <v>12.8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17081-2024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45412</v>
      </c>
      <c r="E116" s="1" t="n">
        <v>46219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62682-2023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46219</v>
      </c>
      <c r="F117" t="inlineStr">
        <is>
          <t>VÄRMLANDS LÄN</t>
        </is>
      </c>
      <c r="G117" t="inlineStr">
        <is>
          <t>GRUMS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29426-2022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46219</v>
      </c>
      <c r="F118" t="inlineStr">
        <is>
          <t>VÄRMLANDS LÄN</t>
        </is>
      </c>
      <c r="G118" t="inlineStr">
        <is>
          <t>GRUMS</t>
        </is>
      </c>
      <c r="H118" t="inlineStr">
        <is>
          <t>Bergvik skog väst AB</t>
        </is>
      </c>
      <c r="I118" t="n">
        <v>14.4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30339-2022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44760</v>
      </c>
      <c r="E119" s="1" t="n">
        <v>46219</v>
      </c>
      <c r="F119" t="inlineStr">
        <is>
          <t>VÄRMLANDS LÄN</t>
        </is>
      </c>
      <c r="G119" t="inlineStr">
        <is>
          <t>GRUMS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53209-2021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46219</v>
      </c>
      <c r="F120" t="inlineStr">
        <is>
          <t>VÄRMLANDS LÄN</t>
        </is>
      </c>
      <c r="G120" t="inlineStr">
        <is>
          <t>GRUMS</t>
        </is>
      </c>
      <c r="I120" t="n">
        <v>11.6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73310-2021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44547</v>
      </c>
      <c r="E121" s="1" t="n">
        <v>46219</v>
      </c>
      <c r="F121" t="inlineStr">
        <is>
          <t>VÄRMLANDS LÄN</t>
        </is>
      </c>
      <c r="G121" t="inlineStr">
        <is>
          <t>GRUMS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46219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46219</v>
      </c>
      <c r="F123" t="inlineStr">
        <is>
          <t>VÄRMLANDS LÄN</t>
        </is>
      </c>
      <c r="G123" t="inlineStr">
        <is>
          <t>GRUMS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63919-2021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46219</v>
      </c>
      <c r="F124" t="inlineStr">
        <is>
          <t>VÄRMLANDS LÄN</t>
        </is>
      </c>
      <c r="G124" t="inlineStr">
        <is>
          <t>GRUMS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45467-2022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44845</v>
      </c>
      <c r="E125" s="1" t="n">
        <v>46219</v>
      </c>
      <c r="F125" t="inlineStr">
        <is>
          <t>VÄRMLANDS LÄN</t>
        </is>
      </c>
      <c r="G125" t="inlineStr">
        <is>
          <t>GRUMS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44497-2025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46219</v>
      </c>
      <c r="F126" t="inlineStr">
        <is>
          <t>VÄRMLANDS LÄN</t>
        </is>
      </c>
      <c r="G126" t="inlineStr">
        <is>
          <t>GRUMS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9144-2024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46219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58705-2024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46219</v>
      </c>
      <c r="F128" t="inlineStr">
        <is>
          <t>VÄRMLANDS LÄN</t>
        </is>
      </c>
      <c r="G128" t="inlineStr">
        <is>
          <t>GRUMS</t>
        </is>
      </c>
      <c r="H128" t="inlineStr">
        <is>
          <t>Bergvik skog väst AB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45812-2025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46219</v>
      </c>
      <c r="F129" t="inlineStr">
        <is>
          <t>VÄRMLANDS LÄN</t>
        </is>
      </c>
      <c r="G129" t="inlineStr">
        <is>
          <t>GRUMS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46219</v>
      </c>
      <c r="F130" t="inlineStr">
        <is>
          <t>VÄRMLANDS LÄN</t>
        </is>
      </c>
      <c r="G130" t="inlineStr">
        <is>
          <t>GRUMS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36644-2023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45153</v>
      </c>
      <c r="E131" s="1" t="n">
        <v>46219</v>
      </c>
      <c r="F131" t="inlineStr">
        <is>
          <t>VÄRMLANDS LÄN</t>
        </is>
      </c>
      <c r="G131" t="inlineStr">
        <is>
          <t>GRUMS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46219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46219</v>
      </c>
      <c r="F133" t="inlineStr">
        <is>
          <t>VÄRMLANDS LÄN</t>
        </is>
      </c>
      <c r="G133" t="inlineStr">
        <is>
          <t>GRUMS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62905-2023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46219</v>
      </c>
      <c r="F134" t="inlineStr">
        <is>
          <t>VÄRMLANDS LÄN</t>
        </is>
      </c>
      <c r="G134" t="inlineStr">
        <is>
          <t>GRUMS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46219</v>
      </c>
      <c r="F135" t="inlineStr">
        <is>
          <t>VÄRMLANDS LÄN</t>
        </is>
      </c>
      <c r="G135" t="inlineStr">
        <is>
          <t>GRUMS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33948-2023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45124</v>
      </c>
      <c r="E136" s="1" t="n">
        <v>46219</v>
      </c>
      <c r="F136" t="inlineStr">
        <is>
          <t>VÄRMLANDS LÄN</t>
        </is>
      </c>
      <c r="G136" t="inlineStr">
        <is>
          <t>GRUMS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46219</v>
      </c>
      <c r="F137" t="inlineStr">
        <is>
          <t>VÄRMLANDS LÄN</t>
        </is>
      </c>
      <c r="G137" t="inlineStr">
        <is>
          <t>GRUMS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49507-2025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46219</v>
      </c>
      <c r="F138" t="inlineStr">
        <is>
          <t>VÄRMLANDS LÄN</t>
        </is>
      </c>
      <c r="G138" t="inlineStr">
        <is>
          <t>GRUMS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27222-2023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46219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31362-2024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45505</v>
      </c>
      <c r="E140" s="1" t="n">
        <v>46219</v>
      </c>
      <c r="F140" t="inlineStr">
        <is>
          <t>VÄRMLANDS LÄN</t>
        </is>
      </c>
      <c r="G140" t="inlineStr">
        <is>
          <t>GRUMS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17972-2025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46219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62896-2023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46219</v>
      </c>
      <c r="F142" t="inlineStr">
        <is>
          <t>VÄRMLANDS LÄN</t>
        </is>
      </c>
      <c r="G142" t="inlineStr">
        <is>
          <t>GRUMS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6938-2024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45343</v>
      </c>
      <c r="E143" s="1" t="n">
        <v>46219</v>
      </c>
      <c r="F143" t="inlineStr">
        <is>
          <t>VÄRMLANDS LÄN</t>
        </is>
      </c>
      <c r="G143" t="inlineStr">
        <is>
          <t>GRUMS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51509-2025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46219</v>
      </c>
      <c r="F144" t="inlineStr">
        <is>
          <t>VÄRMLANDS LÄN</t>
        </is>
      </c>
      <c r="G144" t="inlineStr">
        <is>
          <t>GRUMS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26829-2023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46219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44924</v>
      </c>
      <c r="E146" s="1" t="n">
        <v>46219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13895-2024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45391</v>
      </c>
      <c r="E147" s="1" t="n">
        <v>46219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46219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46219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25443-2023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46219</v>
      </c>
      <c r="F150" t="inlineStr">
        <is>
          <t>VÄRMLANDS LÄN</t>
        </is>
      </c>
      <c r="G150" t="inlineStr">
        <is>
          <t>GRUMS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52700-2025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45956</v>
      </c>
      <c r="E151" s="1" t="n">
        <v>46219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45956</v>
      </c>
      <c r="E152" s="1" t="n">
        <v>46219</v>
      </c>
      <c r="F152" t="inlineStr">
        <is>
          <t>VÄRMLANDS LÄN</t>
        </is>
      </c>
      <c r="G152" t="inlineStr">
        <is>
          <t>GRUMS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14306-2023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45011</v>
      </c>
      <c r="E153" s="1" t="n">
        <v>46219</v>
      </c>
      <c r="F153" t="inlineStr">
        <is>
          <t>VÄRMLANDS LÄN</t>
        </is>
      </c>
      <c r="G153" t="inlineStr">
        <is>
          <t>GRUMS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23702-2026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46164</v>
      </c>
      <c r="E154" s="1" t="n">
        <v>46219</v>
      </c>
      <c r="F154" t="inlineStr">
        <is>
          <t>VÄRMLANDS LÄN</t>
        </is>
      </c>
      <c r="G154" t="inlineStr">
        <is>
          <t>GRUMS</t>
        </is>
      </c>
      <c r="H154" t="inlineStr">
        <is>
          <t>Kommuner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23733-2026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46219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46219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31974-2023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46219</v>
      </c>
      <c r="F157" t="inlineStr">
        <is>
          <t>VÄRMLANDS LÄN</t>
        </is>
      </c>
      <c r="G157" t="inlineStr">
        <is>
          <t>GRUMS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23757-2026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46164</v>
      </c>
      <c r="E158" s="1" t="n">
        <v>46219</v>
      </c>
      <c r="F158" t="inlineStr">
        <is>
          <t>VÄRMLANDS LÄN</t>
        </is>
      </c>
      <c r="G158" t="inlineStr">
        <is>
          <t>GRUMS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46219</v>
      </c>
      <c r="F159" t="inlineStr">
        <is>
          <t>VÄRMLANDS LÄN</t>
        </is>
      </c>
      <c r="G159" t="inlineStr">
        <is>
          <t>GRUMS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64304-2023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46219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23945-2026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46167</v>
      </c>
      <c r="E161" s="1" t="n">
        <v>46219</v>
      </c>
      <c r="F161" t="inlineStr">
        <is>
          <t>VÄRMLANDS LÄN</t>
        </is>
      </c>
      <c r="G161" t="inlineStr">
        <is>
          <t>GRUMS</t>
        </is>
      </c>
      <c r="H161" t="inlineStr">
        <is>
          <t>Kommuner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45310</v>
      </c>
      <c r="E162" s="1" t="n">
        <v>46219</v>
      </c>
      <c r="F162" t="inlineStr">
        <is>
          <t>VÄRMLANDS LÄN</t>
        </is>
      </c>
      <c r="G162" t="inlineStr">
        <is>
          <t>GRUMS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46219</v>
      </c>
      <c r="F163" t="inlineStr">
        <is>
          <t>VÄRMLANDS LÄN</t>
        </is>
      </c>
      <c r="G163" t="inlineStr">
        <is>
          <t>GRUMS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69847-2021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46219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58514-2022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46219</v>
      </c>
      <c r="F165" t="inlineStr">
        <is>
          <t>VÄRMLANDS LÄN</t>
        </is>
      </c>
      <c r="G165" t="inlineStr">
        <is>
          <t>GRUMS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46219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39145-2021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44412</v>
      </c>
      <c r="E167" s="1" t="n">
        <v>46219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47152-2023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46219</v>
      </c>
      <c r="F168" t="inlineStr">
        <is>
          <t>VÄRMLANDS LÄN</t>
        </is>
      </c>
      <c r="G168" t="inlineStr">
        <is>
          <t>GRUMS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58747-2025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46219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46219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31034-2026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46214</v>
      </c>
      <c r="E171" s="1" t="n">
        <v>46219</v>
      </c>
      <c r="F171" t="inlineStr">
        <is>
          <t>VÄRMLANDS LÄN</t>
        </is>
      </c>
      <c r="G171" t="inlineStr">
        <is>
          <t>GRUMS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24754-2026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46219</v>
      </c>
      <c r="F172" t="inlineStr">
        <is>
          <t>VÄRMLANDS LÄN</t>
        </is>
      </c>
      <c r="G172" t="inlineStr">
        <is>
          <t>GRUMS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46219</v>
      </c>
      <c r="F173" t="inlineStr">
        <is>
          <t>VÄRMLANDS LÄN</t>
        </is>
      </c>
      <c r="G173" t="inlineStr">
        <is>
          <t>GRUMS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16772-2024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46219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8364-2025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46219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46219</v>
      </c>
      <c r="F176" t="inlineStr">
        <is>
          <t>VÄRMLANDS LÄN</t>
        </is>
      </c>
      <c r="G176" t="inlineStr">
        <is>
          <t>GRUMS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66056-2021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44517</v>
      </c>
      <c r="E177" s="1" t="n">
        <v>46219</v>
      </c>
      <c r="F177" t="inlineStr">
        <is>
          <t>VÄRMLANDS LÄN</t>
        </is>
      </c>
      <c r="G177" t="inlineStr">
        <is>
          <t>GRUMS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48553-2023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46219</v>
      </c>
      <c r="F178" t="inlineStr">
        <is>
          <t>VÄRMLANDS LÄN</t>
        </is>
      </c>
      <c r="G178" t="inlineStr">
        <is>
          <t>GRUMS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17573-2025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45757</v>
      </c>
      <c r="E179" s="1" t="n">
        <v>46219</v>
      </c>
      <c r="F179" t="inlineStr">
        <is>
          <t>VÄRMLANDS LÄN</t>
        </is>
      </c>
      <c r="G179" t="inlineStr">
        <is>
          <t>GRUMS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46219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46219</v>
      </c>
      <c r="F181" t="inlineStr">
        <is>
          <t>VÄRMLANDS LÄN</t>
        </is>
      </c>
      <c r="G181" t="inlineStr">
        <is>
          <t>GRUMS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12084-2024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46219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20954-2023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46219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17443-2025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46219</v>
      </c>
      <c r="F184" t="inlineStr">
        <is>
          <t>VÄRMLANDS LÄN</t>
        </is>
      </c>
      <c r="G184" t="inlineStr">
        <is>
          <t>GRUMS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59391-2025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45989</v>
      </c>
      <c r="E185" s="1" t="n">
        <v>46219</v>
      </c>
      <c r="F185" t="inlineStr">
        <is>
          <t>VÄRMLANDS LÄN</t>
        </is>
      </c>
      <c r="G185" t="inlineStr">
        <is>
          <t>GRUMS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20369-2024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46219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46219</v>
      </c>
      <c r="F187" t="inlineStr">
        <is>
          <t>VÄRMLANDS LÄN</t>
        </is>
      </c>
      <c r="G187" t="inlineStr">
        <is>
          <t>GRUMS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46219</v>
      </c>
      <c r="F188" t="inlineStr">
        <is>
          <t>VÄRMLANDS LÄN</t>
        </is>
      </c>
      <c r="G188" t="inlineStr">
        <is>
          <t>GRUMS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44048-2023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46219</v>
      </c>
      <c r="F189" t="inlineStr">
        <is>
          <t>VÄRMLANDS LÄN</t>
        </is>
      </c>
      <c r="G189" t="inlineStr">
        <is>
          <t>GRUMS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46219</v>
      </c>
      <c r="F190" t="inlineStr">
        <is>
          <t>VÄRMLANDS LÄN</t>
        </is>
      </c>
      <c r="G190" t="inlineStr">
        <is>
          <t>GRUMS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12175-2024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45377</v>
      </c>
      <c r="E191" s="1" t="n">
        <v>46219</v>
      </c>
      <c r="F191" t="inlineStr">
        <is>
          <t>VÄRMLANDS LÄN</t>
        </is>
      </c>
      <c r="G191" t="inlineStr">
        <is>
          <t>GRUMS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30527-2022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44762</v>
      </c>
      <c r="E192" s="1" t="n">
        <v>46219</v>
      </c>
      <c r="F192" t="inlineStr">
        <is>
          <t>VÄRMLANDS LÄN</t>
        </is>
      </c>
      <c r="G192" t="inlineStr">
        <is>
          <t>GRUMS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22347-2023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46219</v>
      </c>
      <c r="F193" t="inlineStr">
        <is>
          <t>VÄRMLANDS LÄN</t>
        </is>
      </c>
      <c r="G193" t="inlineStr">
        <is>
          <t>GRUMS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46039</v>
      </c>
      <c r="E194" s="1" t="n">
        <v>46219</v>
      </c>
      <c r="F194" t="inlineStr">
        <is>
          <t>VÄRMLANDS LÄN</t>
        </is>
      </c>
      <c r="G194" t="inlineStr">
        <is>
          <t>GRUMS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8370-2023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46219</v>
      </c>
      <c r="F195" t="inlineStr">
        <is>
          <t>VÄRMLANDS LÄN</t>
        </is>
      </c>
      <c r="G195" t="inlineStr">
        <is>
          <t>GRUMS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12217-2025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46219</v>
      </c>
      <c r="F196" t="inlineStr">
        <is>
          <t>VÄRMLANDS LÄN</t>
        </is>
      </c>
      <c r="G196" t="inlineStr">
        <is>
          <t>GRUMS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56220-2023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46219</v>
      </c>
      <c r="F197" t="inlineStr">
        <is>
          <t>VÄRMLANDS LÄN</t>
        </is>
      </c>
      <c r="G197" t="inlineStr">
        <is>
          <t>GRUMS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45785</v>
      </c>
      <c r="E198" s="1" t="n">
        <v>46219</v>
      </c>
      <c r="F198" t="inlineStr">
        <is>
          <t>VÄRMLANDS LÄN</t>
        </is>
      </c>
      <c r="G198" t="inlineStr">
        <is>
          <t>GRUMS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56219-2023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46219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46219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17437-2025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46219</v>
      </c>
      <c r="F201" t="inlineStr">
        <is>
          <t>VÄRMLANDS LÄN</t>
        </is>
      </c>
      <c r="G201" t="inlineStr">
        <is>
          <t>GRUMS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44596</v>
      </c>
      <c r="E202" s="1" t="n">
        <v>46219</v>
      </c>
      <c r="F202" t="inlineStr">
        <is>
          <t>VÄRMLANDS LÄN</t>
        </is>
      </c>
      <c r="G202" t="inlineStr">
        <is>
          <t>GRUMS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22537-2025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45787</v>
      </c>
      <c r="E203" s="1" t="n">
        <v>46219</v>
      </c>
      <c r="F203" t="inlineStr">
        <is>
          <t>VÄRMLANDS LÄN</t>
        </is>
      </c>
      <c r="G203" t="inlineStr">
        <is>
          <t>GRUMS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12000-2022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44635</v>
      </c>
      <c r="E204" s="1" t="n">
        <v>46219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40935-2022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44823</v>
      </c>
      <c r="E205" s="1" t="n">
        <v>46219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36646-2023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46219</v>
      </c>
      <c r="F206" t="inlineStr">
        <is>
          <t>VÄRMLANDS LÄN</t>
        </is>
      </c>
      <c r="G206" t="inlineStr">
        <is>
          <t>GRUMS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46219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46219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8362-2025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46219</v>
      </c>
      <c r="F209" t="inlineStr">
        <is>
          <t>VÄRMLANDS LÄN</t>
        </is>
      </c>
      <c r="G209" t="inlineStr">
        <is>
          <t>GRUMS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46219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49300-2022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46219</v>
      </c>
      <c r="F211" t="inlineStr">
        <is>
          <t>VÄRMLANDS LÄN</t>
        </is>
      </c>
      <c r="G211" t="inlineStr">
        <is>
          <t>GRUMS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16635-2024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46219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37676-2023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45159</v>
      </c>
      <c r="E213" s="1" t="n">
        <v>46219</v>
      </c>
      <c r="F213" t="inlineStr">
        <is>
          <t>VÄRMLANDS LÄN</t>
        </is>
      </c>
      <c r="G213" t="inlineStr">
        <is>
          <t>GRUMS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53137-2023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46219</v>
      </c>
      <c r="F214" t="inlineStr">
        <is>
          <t>VÄRMLANDS LÄN</t>
        </is>
      </c>
      <c r="G214" t="inlineStr">
        <is>
          <t>GRUMS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12283-2026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46219</v>
      </c>
      <c r="F215" t="inlineStr">
        <is>
          <t>VÄRMLANDS LÄN</t>
        </is>
      </c>
      <c r="G215" t="inlineStr">
        <is>
          <t>GRUMS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8788-2024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46219</v>
      </c>
      <c r="F216" t="inlineStr">
        <is>
          <t>VÄRMLANDS LÄN</t>
        </is>
      </c>
      <c r="G216" t="inlineStr">
        <is>
          <t>GRUMS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45300</v>
      </c>
      <c r="E217" s="1" t="n">
        <v>46219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46299-2022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44847</v>
      </c>
      <c r="E218" s="1" t="n">
        <v>46219</v>
      </c>
      <c r="F218" t="inlineStr">
        <is>
          <t>VÄRMLANDS LÄN</t>
        </is>
      </c>
      <c r="G218" t="inlineStr">
        <is>
          <t>GRUMS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46219</v>
      </c>
      <c r="F219" t="inlineStr">
        <is>
          <t>VÄRMLANDS LÄN</t>
        </is>
      </c>
      <c r="G219" t="inlineStr">
        <is>
          <t>GRUMS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62554-2022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44924</v>
      </c>
      <c r="E220" s="1" t="n">
        <v>46219</v>
      </c>
      <c r="F220" t="inlineStr">
        <is>
          <t>VÄRMLANDS LÄN</t>
        </is>
      </c>
      <c r="G220" t="inlineStr">
        <is>
          <t>GRUMS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57236-2023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46219</v>
      </c>
      <c r="F221" t="inlineStr">
        <is>
          <t>VÄRMLANDS LÄN</t>
        </is>
      </c>
      <c r="G221" t="inlineStr">
        <is>
          <t>GRUMS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57237-2023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46219</v>
      </c>
      <c r="F222" t="inlineStr">
        <is>
          <t>VÄRMLANDS LÄN</t>
        </is>
      </c>
      <c r="G222" t="inlineStr">
        <is>
          <t>GRUMS</t>
        </is>
      </c>
      <c r="I222" t="n">
        <v>18.2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14688-2026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46101</v>
      </c>
      <c r="E223" s="1" t="n">
        <v>46219</v>
      </c>
      <c r="F223" t="inlineStr">
        <is>
          <t>VÄRMLANDS LÄN</t>
        </is>
      </c>
      <c r="G223" t="inlineStr">
        <is>
          <t>GRUMS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15543-2026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46219</v>
      </c>
      <c r="F224" t="inlineStr">
        <is>
          <t>VÄRMLANDS LÄN</t>
        </is>
      </c>
      <c r="G224" t="inlineStr">
        <is>
          <t>GRUMS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15549-2026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46219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29577-2024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45484</v>
      </c>
      <c r="E226" s="1" t="n">
        <v>46219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46219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32959-2022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44784</v>
      </c>
      <c r="E228" s="1" t="n">
        <v>46219</v>
      </c>
      <c r="F228" t="inlineStr">
        <is>
          <t>VÄRMLANDS LÄN</t>
        </is>
      </c>
      <c r="G228" t="inlineStr">
        <is>
          <t>GRUMS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46219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27218-2023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46219</v>
      </c>
      <c r="F230" t="inlineStr">
        <is>
          <t>VÄRMLANDS LÄN</t>
        </is>
      </c>
      <c r="G230" t="inlineStr">
        <is>
          <t>GRUMS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38517-2024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45546</v>
      </c>
      <c r="E231" s="1" t="n">
        <v>46219</v>
      </c>
      <c r="F231" t="inlineStr">
        <is>
          <t>VÄRMLANDS LÄN</t>
        </is>
      </c>
      <c r="G231" t="inlineStr">
        <is>
          <t>GRUMS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36420-2023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46219</v>
      </c>
      <c r="F232" t="inlineStr">
        <is>
          <t>VÄRMLANDS LÄN</t>
        </is>
      </c>
      <c r="G232" t="inlineStr">
        <is>
          <t>GRUMS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37119-2024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46219</v>
      </c>
      <c r="F233" t="inlineStr">
        <is>
          <t>VÄRMLANDS LÄN</t>
        </is>
      </c>
      <c r="G233" t="inlineStr">
        <is>
          <t>GRUMS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19802-2024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46219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44795</v>
      </c>
      <c r="E235" s="1" t="n">
        <v>46219</v>
      </c>
      <c r="F235" t="inlineStr">
        <is>
          <t>VÄRMLANDS LÄN</t>
        </is>
      </c>
      <c r="G235" t="inlineStr">
        <is>
          <t>GRUMS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19054-2026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46132</v>
      </c>
      <c r="E236" s="1" t="n">
        <v>46219</v>
      </c>
      <c r="F236" t="inlineStr">
        <is>
          <t>VÄRMLANDS LÄN</t>
        </is>
      </c>
      <c r="G236" t="inlineStr">
        <is>
          <t>GRUMS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17399-2025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46219</v>
      </c>
      <c r="F237" t="inlineStr">
        <is>
          <t>VÄRMLANDS LÄN</t>
        </is>
      </c>
      <c r="G237" t="inlineStr">
        <is>
          <t>GRUMS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46219</v>
      </c>
      <c r="F238" t="inlineStr">
        <is>
          <t>VÄRMLANDS LÄN</t>
        </is>
      </c>
      <c r="G238" t="inlineStr">
        <is>
          <t>GRUMS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29260-2025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45824</v>
      </c>
      <c r="E239" s="1" t="n">
        <v>46219</v>
      </c>
      <c r="F239" t="inlineStr">
        <is>
          <t>VÄRMLANDS LÄN</t>
        </is>
      </c>
      <c r="G239" t="inlineStr">
        <is>
          <t>GRUMS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7272-2022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46219</v>
      </c>
      <c r="F240" t="inlineStr">
        <is>
          <t>VÄRMLANDS LÄN</t>
        </is>
      </c>
      <c r="G240" t="inlineStr">
        <is>
          <t>GRUMS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29256-2025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46219</v>
      </c>
      <c r="F241" t="inlineStr">
        <is>
          <t>VÄRMLANDS LÄN</t>
        </is>
      </c>
      <c r="G241" t="inlineStr">
        <is>
          <t>GRUMS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22822-2024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46219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21248-2022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44705</v>
      </c>
      <c r="E243" s="1" t="n">
        <v>46219</v>
      </c>
      <c r="F243" t="inlineStr">
        <is>
          <t>VÄRMLANDS LÄN</t>
        </is>
      </c>
      <c r="G243" t="inlineStr">
        <is>
          <t>GRUMS</t>
        </is>
      </c>
      <c r="I243" t="n">
        <v>12.4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59542-2022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46219</v>
      </c>
      <c r="F244" t="inlineStr">
        <is>
          <t>VÄRMLANDS LÄN</t>
        </is>
      </c>
      <c r="G244" t="inlineStr">
        <is>
          <t>GRUMS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21402-2024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46219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30563-2025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46219</v>
      </c>
      <c r="F246" t="inlineStr">
        <is>
          <t>VÄRMLANDS LÄN</t>
        </is>
      </c>
      <c r="G246" t="inlineStr">
        <is>
          <t>GRUMS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71781-2021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44539</v>
      </c>
      <c r="E247" s="1" t="n">
        <v>46219</v>
      </c>
      <c r="F247" t="inlineStr">
        <is>
          <t>VÄRMLANDS LÄN</t>
        </is>
      </c>
      <c r="G247" t="inlineStr">
        <is>
          <t>GRUMS</t>
        </is>
      </c>
      <c r="H247" t="inlineStr">
        <is>
          <t>Bergvik skog väst AB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31930-2024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45510</v>
      </c>
      <c r="E248" s="1" t="n">
        <v>46219</v>
      </c>
      <c r="F248" t="inlineStr">
        <is>
          <t>VÄRMLANDS LÄN</t>
        </is>
      </c>
      <c r="G248" t="inlineStr">
        <is>
          <t>GRUMS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42143-2025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46219</v>
      </c>
      <c r="F249" t="inlineStr">
        <is>
          <t>VÄRMLANDS LÄN</t>
        </is>
      </c>
      <c r="G249" t="inlineStr">
        <is>
          <t>GRUMS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40522-2025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46219</v>
      </c>
      <c r="F250" t="inlineStr">
        <is>
          <t>VÄRMLANDS LÄN</t>
        </is>
      </c>
      <c r="G250" t="inlineStr">
        <is>
          <t>GRUMS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46219</v>
      </c>
      <c r="F251" t="inlineStr">
        <is>
          <t>VÄRMLANDS LÄN</t>
        </is>
      </c>
      <c r="G251" t="inlineStr">
        <is>
          <t>GRUMS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73901-2021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44552</v>
      </c>
      <c r="E252" s="1" t="n">
        <v>46219</v>
      </c>
      <c r="F252" t="inlineStr">
        <is>
          <t>VÄRMLANDS LÄN</t>
        </is>
      </c>
      <c r="G252" t="inlineStr">
        <is>
          <t>GRUMS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32327-2025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45836</v>
      </c>
      <c r="E253" s="1" t="n">
        <v>46219</v>
      </c>
      <c r="F253" t="inlineStr">
        <is>
          <t>VÄRMLANDS LÄN</t>
        </is>
      </c>
      <c r="G253" t="inlineStr">
        <is>
          <t>GRUMS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32302-2024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45512</v>
      </c>
      <c r="E254" s="1" t="n">
        <v>46219</v>
      </c>
      <c r="F254" t="inlineStr">
        <is>
          <t>VÄRMLANDS LÄN</t>
        </is>
      </c>
      <c r="G254" t="inlineStr">
        <is>
          <t>GRUMS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26840-2023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46219</v>
      </c>
      <c r="F255" t="inlineStr">
        <is>
          <t>VÄRMLANDS LÄN</t>
        </is>
      </c>
      <c r="G255" t="inlineStr">
        <is>
          <t>GRUMS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45390</v>
      </c>
      <c r="E256" s="1" t="n">
        <v>46219</v>
      </c>
      <c r="F256" t="inlineStr">
        <is>
          <t>VÄRMLANDS LÄN</t>
        </is>
      </c>
      <c r="G256" t="inlineStr">
        <is>
          <t>GRUMS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20784-2025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45776</v>
      </c>
      <c r="E257" s="1" t="n">
        <v>46219</v>
      </c>
      <c r="F257" t="inlineStr">
        <is>
          <t>VÄRMLANDS LÄN</t>
        </is>
      </c>
      <c r="G257" t="inlineStr">
        <is>
          <t>GRUMS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46024</v>
      </c>
      <c r="E258" s="1" t="n">
        <v>46219</v>
      </c>
      <c r="F258" t="inlineStr">
        <is>
          <t>VÄRMLANDS LÄN</t>
        </is>
      </c>
      <c r="G258" t="inlineStr">
        <is>
          <t>GRUMS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5011-2024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46219</v>
      </c>
      <c r="F259" t="inlineStr">
        <is>
          <t>VÄRMLANDS LÄN</t>
        </is>
      </c>
      <c r="G259" t="inlineStr">
        <is>
          <t>GRUMS</t>
        </is>
      </c>
      <c r="I259" t="n">
        <v>22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26015-2026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46181</v>
      </c>
      <c r="E260" s="1" t="n">
        <v>46219</v>
      </c>
      <c r="F260" t="inlineStr">
        <is>
          <t>VÄRMLANDS LÄN</t>
        </is>
      </c>
      <c r="G260" t="inlineStr">
        <is>
          <t>GRUMS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46219</v>
      </c>
      <c r="F261" t="inlineStr">
        <is>
          <t>VÄRMLANDS LÄN</t>
        </is>
      </c>
      <c r="G261" t="inlineStr">
        <is>
          <t>GRUMS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46219</v>
      </c>
      <c r="F262" t="inlineStr">
        <is>
          <t>VÄRMLANDS LÄN</t>
        </is>
      </c>
      <c r="G262" t="inlineStr">
        <is>
          <t>GRUMS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59617-2025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46219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31561-2023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46219</v>
      </c>
      <c r="F264" t="inlineStr">
        <is>
          <t>VÄRMLANDS LÄN</t>
        </is>
      </c>
      <c r="G264" t="inlineStr">
        <is>
          <t>GRUMS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35425-2025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46219</v>
      </c>
      <c r="F265" t="inlineStr">
        <is>
          <t>VÄRMLANDS LÄN</t>
        </is>
      </c>
      <c r="G265" t="inlineStr">
        <is>
          <t>GRUMS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46219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37515-2025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46219</v>
      </c>
      <c r="F267" t="inlineStr">
        <is>
          <t>VÄRMLANDS LÄN</t>
        </is>
      </c>
      <c r="G267" t="inlineStr">
        <is>
          <t>GRUMS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37495-2025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46219</v>
      </c>
      <c r="F268" t="inlineStr">
        <is>
          <t>VÄRMLANDS LÄN</t>
        </is>
      </c>
      <c r="G268" t="inlineStr">
        <is>
          <t>GRUMS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22406-2026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46219</v>
      </c>
      <c r="F269" t="inlineStr">
        <is>
          <t>VÄRMLANDS LÄN</t>
        </is>
      </c>
      <c r="G269" t="inlineStr">
        <is>
          <t>GRUMS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28513-2026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46197</v>
      </c>
      <c r="E270" s="1" t="n">
        <v>46219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39334-2025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46219</v>
      </c>
      <c r="F271" t="inlineStr">
        <is>
          <t>VÄRMLANDS LÄN</t>
        </is>
      </c>
      <c r="G271" t="inlineStr">
        <is>
          <t>GRUMS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46219</v>
      </c>
      <c r="F272" t="inlineStr">
        <is>
          <t>VÄRMLANDS LÄN</t>
        </is>
      </c>
      <c r="G272" t="inlineStr">
        <is>
          <t>GRUMS</t>
        </is>
      </c>
      <c r="H272" t="inlineStr">
        <is>
          <t>BillerudKorsnäs AB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29222-2026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46219</v>
      </c>
      <c r="F273" t="inlineStr">
        <is>
          <t>VÄRMLANDS LÄN</t>
        </is>
      </c>
      <c r="G273" t="inlineStr">
        <is>
          <t>GRUMS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29205-2026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46219</v>
      </c>
      <c r="F274" t="inlineStr">
        <is>
          <t>VÄRMLANDS LÄN</t>
        </is>
      </c>
      <c r="G274" t="inlineStr">
        <is>
          <t>GRUMS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29191-2026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46219</v>
      </c>
      <c r="F275" t="inlineStr">
        <is>
          <t>VÄRMLANDS LÄN</t>
        </is>
      </c>
      <c r="G275" t="inlineStr">
        <is>
          <t>GRUMS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71903-2021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46219</v>
      </c>
      <c r="F276" t="inlineStr">
        <is>
          <t>VÄRMLANDS LÄN</t>
        </is>
      </c>
      <c r="G276" t="inlineStr">
        <is>
          <t>GRUMS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46219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46219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46219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46219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46219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2026-07-16T01:24:15Z</dcterms:created>
  <dcterms:modified xmlns:dcterms="http://purl.org/dc/terms/" xmlns:xsi="http://www.w3.org/2001/XMLSchema-instance" xsi:type="dcterms:W3CDTF">2026-07-16T01:24:16Z</dcterms:modified>
</cp:coreProperties>
</file>