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667-2023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44978</v>
      </c>
      <c r="E2" s="1" t="n">
        <v>46318</v>
      </c>
      <c r="F2" t="inlineStr">
        <is>
          <t>VÄRMLANDS LÄN</t>
        </is>
      </c>
      <c r="G2" t="inlineStr">
        <is>
          <t>GRUMS</t>
        </is>
      </c>
      <c r="H2" t="inlineStr">
        <is>
          <t>Bergvik skog väst AB</t>
        </is>
      </c>
      <c r="I2" t="n">
        <v>287.7</v>
      </c>
      <c r="J2" t="n">
        <v>10</v>
      </c>
      <c r="K2" t="n">
        <v>2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n">
        <v>7</v>
      </c>
      <c r="R2" t="n">
        <v>1</v>
      </c>
      <c r="S2" t="n">
        <v>16</v>
      </c>
      <c r="T2" t="n">
        <v>22</v>
      </c>
      <c r="U2" t="n">
        <v>20</v>
      </c>
      <c r="V2" s="2" t="inlineStr">
        <is>
          <t>Garnlav
Gulsparv
Kungsörn
Motaggsvamp
Talltita
Vedskivlav
Vedtrappmossa
Flagellkvastmossa
Strutbräken
Mattlummer
Spillkråka
Tjäder
Röd glada
Trana
Fläcknycklar
Revlummer</t>
        </is>
      </c>
      <c r="W2">
        <f>HYPERLINK("https://klasma.github.io/Logging_1764/artfynd/S 667-2023 artfynd.xlsx", "S 667-2023")</f>
        <v/>
      </c>
      <c r="X2">
        <f>HYPERLINK("https://klasma.github.io/Logging_1764/kartor/S 667-2023 karta.png", "S 667-2023")</f>
        <v/>
      </c>
      <c r="Y2">
        <f>HYPERLINK("https://klasma.github.io/Logging_1764/kartor_geotiff/S 667-2023 georefererad karta.tif", "S 667-2023")</f>
        <v/>
      </c>
      <c r="AA2">
        <f>HYPERLINK("https://klasma.github.io/Logging_1764/klagomål/S 667-2023 FSC-klagomål.docx", "S 667-2023")</f>
        <v/>
      </c>
      <c r="AB2">
        <f>HYPERLINK("https://klasma.github.io/Logging_1764/klagomålsmail/S 667-2023 FSC-klagomål mail.docx", "S 667-2023")</f>
        <v/>
      </c>
      <c r="AC2">
        <f>HYPERLINK("https://klasma.github.io/Logging_1764/tillsyn/S 667-2023 tillsynsbegäran.docx", "S 667-2023")</f>
        <v/>
      </c>
      <c r="AD2">
        <f>HYPERLINK("https://klasma.github.io/Logging_1764/tillsynsmail/S 667-2023 tillsynsbegäran mail.docx", "S 667-2023")</f>
        <v/>
      </c>
      <c r="AE2">
        <f>HYPERLINK("https://klasma.github.io/Logging_1764/fåglar/S 667-2023 prioriterade fågelarter.docx", "S 667-2023")</f>
        <v/>
      </c>
    </row>
    <row r="3" ht="15" customHeight="1">
      <c r="A3" t="inlineStr">
        <is>
          <t>S 485-2024</t>
        </is>
      </c>
      <c r="B3" t="inlineStr">
        <is>
          <t>samrådsanmälan</t>
        </is>
      </c>
      <c r="C3" t="inlineStr">
        <is>
          <t>Askåterföring</t>
        </is>
      </c>
      <c r="D3" s="1" t="n">
        <v>45343</v>
      </c>
      <c r="E3" s="1" t="n">
        <v>46318</v>
      </c>
      <c r="F3" t="inlineStr">
        <is>
          <t>VÄRMLANDS LÄN</t>
        </is>
      </c>
      <c r="G3" t="inlineStr">
        <is>
          <t>GRUMS</t>
        </is>
      </c>
      <c r="H3" t="inlineStr">
        <is>
          <t>Bergvik skog väst AB</t>
        </is>
      </c>
      <c r="I3" t="n">
        <v>137.9</v>
      </c>
      <c r="J3" t="n">
        <v>7</v>
      </c>
      <c r="K3" t="n">
        <v>1</v>
      </c>
      <c r="L3" t="n">
        <v>9</v>
      </c>
      <c r="M3" t="n">
        <v>0</v>
      </c>
      <c r="N3" t="n">
        <v>0</v>
      </c>
      <c r="O3" t="n">
        <v>0</v>
      </c>
      <c r="P3" t="n">
        <v>0</v>
      </c>
      <c r="Q3" t="n">
        <v>9</v>
      </c>
      <c r="R3" t="n">
        <v>0</v>
      </c>
      <c r="S3" t="n">
        <v>14</v>
      </c>
      <c r="T3" t="n">
        <v>46</v>
      </c>
      <c r="U3" t="n">
        <v>37</v>
      </c>
      <c r="V3" s="2" t="inlineStr">
        <is>
          <t>Brunlångöra
Dropptaggsvamp
Dvärgbägarlav
Gulsparv
Kattfotslav
Motaggsvamp
Nordfladdermus
Svartvit taggsvamp
Vedskivlav
Flagellkvastmossa
Tjäder
Dvärgpipistrell
Orre
Större brunfladdermus</t>
        </is>
      </c>
      <c r="W3">
        <f>HYPERLINK("https://klasma.github.io/Logging_1764/artfynd/S 485-2024 artfynd.xlsx", "S 485-2024")</f>
        <v/>
      </c>
      <c r="X3">
        <f>HYPERLINK("https://klasma.github.io/Logging_1764/kartor/S 485-2024 karta.png", "S 485-2024")</f>
        <v/>
      </c>
      <c r="Y3">
        <f>HYPERLINK("https://klasma.github.io/Logging_1764/kartor_geotiff/S 485-2024 georefererad karta.tif", "S 485-2024")</f>
        <v/>
      </c>
      <c r="AA3">
        <f>HYPERLINK("https://klasma.github.io/Logging_1764/klagomål/S 485-2024 FSC-klagomål.docx", "S 485-2024")</f>
        <v/>
      </c>
      <c r="AB3">
        <f>HYPERLINK("https://klasma.github.io/Logging_1764/klagomålsmail/S 485-2024 FSC-klagomål mail.docx", "S 485-2024")</f>
        <v/>
      </c>
      <c r="AC3">
        <f>HYPERLINK("https://klasma.github.io/Logging_1764/tillsyn/S 485-2024 tillsynsbegäran.docx", "S 485-2024")</f>
        <v/>
      </c>
      <c r="AD3">
        <f>HYPERLINK("https://klasma.github.io/Logging_1764/tillsynsmail/S 485-2024 tillsynsbegäran mail.docx", "S 485-2024")</f>
        <v/>
      </c>
      <c r="AE3">
        <f>HYPERLINK("https://klasma.github.io/Logging_1764/fåglar/S 485-2024 prioriterade fågelarter.docx", "S 485-2024")</f>
        <v/>
      </c>
    </row>
    <row r="4" ht="15" customHeight="1">
      <c r="A4" t="inlineStr">
        <is>
          <t>A 33391-2022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44788</v>
      </c>
      <c r="E4" s="1" t="n">
        <v>46318</v>
      </c>
      <c r="F4" t="inlineStr">
        <is>
          <t>VÄRMLANDS LÄN</t>
        </is>
      </c>
      <c r="G4" t="inlineStr">
        <is>
          <t>GRUMS</t>
        </is>
      </c>
      <c r="I4" t="n">
        <v>25</v>
      </c>
      <c r="J4" t="n">
        <v>2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5</v>
      </c>
      <c r="U4" t="n">
        <v>5</v>
      </c>
      <c r="V4" s="2" t="inlineStr">
        <is>
          <t>Björksplintborre
Bronshjon
Vågbandad barkbock
Vanlig groda
Revlummer</t>
        </is>
      </c>
      <c r="W4">
        <f>HYPERLINK("https://klasma.github.io/Logging_1764/artfynd/A 33391-2022 artfynd.xlsx", "A 33391-2022")</f>
        <v/>
      </c>
      <c r="X4">
        <f>HYPERLINK("https://klasma.github.io/Logging_1764/kartor/A 33391-2022 karta.png", "A 33391-2022")</f>
        <v/>
      </c>
      <c r="Y4">
        <f>HYPERLINK("https://klasma.github.io/Logging_1764/kartor_geotiff/A 33391-2022 georefererad karta.tif", "A 33391-2022")</f>
        <v/>
      </c>
      <c r="AA4">
        <f>HYPERLINK("https://klasma.github.io/Logging_1764/klagomål/A 33391-2022 FSC-klagomål.docx", "A 33391-2022")</f>
        <v/>
      </c>
      <c r="AB4">
        <f>HYPERLINK("https://klasma.github.io/Logging_1764/klagomålsmail/A 33391-2022 FSC-klagomål mail.docx", "A 33391-2022")</f>
        <v/>
      </c>
      <c r="AC4">
        <f>HYPERLINK("https://klasma.github.io/Logging_1764/tillsyn/A 33391-2022 tillsynsbegäran.docx", "A 33391-2022")</f>
        <v/>
      </c>
      <c r="AD4">
        <f>HYPERLINK("https://klasma.github.io/Logging_1764/tillsynsmail/A 33391-2022 tillsynsbegäran mail.docx", "A 33391-2022")</f>
        <v/>
      </c>
    </row>
    <row r="5" ht="15" customHeight="1">
      <c r="A5" t="inlineStr">
        <is>
          <t>A 909-2025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45664</v>
      </c>
      <c r="E5" s="1" t="n">
        <v>46318</v>
      </c>
      <c r="F5" t="inlineStr">
        <is>
          <t>VÄRMLANDS LÄN</t>
        </is>
      </c>
      <c r="G5" t="inlineStr">
        <is>
          <t>GRUMS</t>
        </is>
      </c>
      <c r="I5" t="n">
        <v>4.5</v>
      </c>
      <c r="J5" t="n">
        <v>0</v>
      </c>
      <c r="K5" t="n">
        <v>2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5</v>
      </c>
      <c r="T5" t="n">
        <v>5</v>
      </c>
      <c r="U5" t="n">
        <v>0</v>
      </c>
      <c r="V5" s="2" t="inlineStr">
        <is>
          <t>Silverblåvinge
Skogsklocka
Skuggorangelav
Brun nållav
Gulpudrad spiklav</t>
        </is>
      </c>
      <c r="W5">
        <f>HYPERLINK("https://klasma.github.io/Logging_1764/artfynd/A 909-2025 artfynd.xlsx", "A 909-2025")</f>
        <v/>
      </c>
      <c r="X5">
        <f>HYPERLINK("https://klasma.github.io/Logging_1764/kartor/A 909-2025 karta.png", "A 909-2025")</f>
        <v/>
      </c>
      <c r="Y5">
        <f>HYPERLINK("https://klasma.github.io/Logging_1764/kartor_geotiff/A 909-2025 georefererad karta.tif", "A 909-2025")</f>
        <v/>
      </c>
      <c r="AA5">
        <f>HYPERLINK("https://klasma.github.io/Logging_1764/klagomål/A 909-2025 FSC-klagomål.docx", "A 909-2025")</f>
        <v/>
      </c>
      <c r="AB5">
        <f>HYPERLINK("https://klasma.github.io/Logging_1764/klagomålsmail/A 909-2025 FSC-klagomål mail.docx", "A 909-2025")</f>
        <v/>
      </c>
      <c r="AC5">
        <f>HYPERLINK("https://klasma.github.io/Logging_1764/tillsyn/A 909-2025 tillsynsbegäran.docx", "A 909-2025")</f>
        <v/>
      </c>
      <c r="AD5">
        <f>HYPERLINK("https://klasma.github.io/Logging_1764/tillsynsmail/A 909-2025 tillsynsbegäran mail.docx", "A 909-2025")</f>
        <v/>
      </c>
    </row>
    <row r="6" ht="15" customHeight="1">
      <c r="A6" t="inlineStr">
        <is>
          <t>A 61327-2021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44498</v>
      </c>
      <c r="E6" s="1" t="n">
        <v>46318</v>
      </c>
      <c r="F6" t="inlineStr">
        <is>
          <t>VÄRMLANDS LÄN</t>
        </is>
      </c>
      <c r="G6" t="inlineStr">
        <is>
          <t>GRUMS</t>
        </is>
      </c>
      <c r="I6" t="n">
        <v>1.7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3</v>
      </c>
      <c r="T6" t="n">
        <v>4</v>
      </c>
      <c r="U6" t="n">
        <v>4</v>
      </c>
      <c r="V6" s="2" t="inlineStr">
        <is>
          <t>Talltagel
Tallticka
Vanlig snok</t>
        </is>
      </c>
      <c r="W6">
        <f>HYPERLINK("https://klasma.github.io/Logging_1764/artfynd/A 61327-2021 artfynd.xlsx", "A 61327-2021")</f>
        <v/>
      </c>
      <c r="X6">
        <f>HYPERLINK("https://klasma.github.io/Logging_1764/kartor/A 61327-2021 karta.png", "A 61327-2021")</f>
        <v/>
      </c>
      <c r="Y6">
        <f>HYPERLINK("https://klasma.github.io/Logging_1764/kartor_geotiff/A 61327-2021 georefererad karta.tif", "A 61327-2021")</f>
        <v/>
      </c>
      <c r="AA6">
        <f>HYPERLINK("https://klasma.github.io/Logging_1764/klagomål/A 61327-2021 FSC-klagomål.docx", "A 61327-2021")</f>
        <v/>
      </c>
      <c r="AB6">
        <f>HYPERLINK("https://klasma.github.io/Logging_1764/klagomålsmail/A 61327-2021 FSC-klagomål mail.docx", "A 61327-2021")</f>
        <v/>
      </c>
      <c r="AC6">
        <f>HYPERLINK("https://klasma.github.io/Logging_1764/tillsyn/A 61327-2021 tillsynsbegäran.docx", "A 61327-2021")</f>
        <v/>
      </c>
      <c r="AD6">
        <f>HYPERLINK("https://klasma.github.io/Logging_1764/tillsynsmail/A 61327-2021 tillsynsbegäran mail.docx", "A 61327-2021")</f>
        <v/>
      </c>
    </row>
    <row r="7" ht="15" customHeight="1">
      <c r="A7" t="inlineStr">
        <is>
          <t>A 40441-2022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44819</v>
      </c>
      <c r="E7" s="1" t="n">
        <v>46318</v>
      </c>
      <c r="F7" t="inlineStr">
        <is>
          <t>VÄRMLANDS LÄN</t>
        </is>
      </c>
      <c r="G7" t="inlineStr">
        <is>
          <t>GRUMS</t>
        </is>
      </c>
      <c r="H7" t="inlineStr">
        <is>
          <t>Bergvik skog väst AB</t>
        </is>
      </c>
      <c r="I7" t="n">
        <v>9.199999999999999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4</v>
      </c>
      <c r="U7" t="n">
        <v>4</v>
      </c>
      <c r="V7" s="2" t="inlineStr">
        <is>
          <t>Spillkråka
Tjäder
Orre</t>
        </is>
      </c>
      <c r="W7">
        <f>HYPERLINK("https://klasma.github.io/Logging_1764/artfynd/A 40441-2022 artfynd.xlsx", "A 40441-2022")</f>
        <v/>
      </c>
      <c r="X7">
        <f>HYPERLINK("https://klasma.github.io/Logging_1764/kartor/A 40441-2022 karta.png", "A 40441-2022")</f>
        <v/>
      </c>
      <c r="Y7">
        <f>HYPERLINK("https://klasma.github.io/Logging_1764/kartor_geotiff/A 40441-2022 georefererad karta.tif", "A 40441-2022")</f>
        <v/>
      </c>
      <c r="AA7">
        <f>HYPERLINK("https://klasma.github.io/Logging_1764/klagomål/A 40441-2022 FSC-klagomål.docx", "A 40441-2022")</f>
        <v/>
      </c>
      <c r="AB7">
        <f>HYPERLINK("https://klasma.github.io/Logging_1764/klagomålsmail/A 40441-2022 FSC-klagomål mail.docx", "A 40441-2022")</f>
        <v/>
      </c>
      <c r="AC7">
        <f>HYPERLINK("https://klasma.github.io/Logging_1764/tillsyn/A 40441-2022 tillsynsbegäran.docx", "A 40441-2022")</f>
        <v/>
      </c>
      <c r="AD7">
        <f>HYPERLINK("https://klasma.github.io/Logging_1764/tillsynsmail/A 40441-2022 tillsynsbegäran mail.docx", "A 40441-2022")</f>
        <v/>
      </c>
      <c r="AE7">
        <f>HYPERLINK("https://klasma.github.io/Logging_1764/fåglar/A 40441-2022 prioriterade fågelarter.docx", "A 40441-2022")</f>
        <v/>
      </c>
    </row>
    <row r="8" ht="15" customHeight="1">
      <c r="A8" t="inlineStr">
        <is>
          <t>A 53755-2024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45615</v>
      </c>
      <c r="E8" s="1" t="n">
        <v>46318</v>
      </c>
      <c r="F8" t="inlineStr">
        <is>
          <t>VÄRMLANDS LÄN</t>
        </is>
      </c>
      <c r="G8" t="inlineStr">
        <is>
          <t>GRUMS</t>
        </is>
      </c>
      <c r="I8" t="n">
        <v>6.1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Motaggsvamp
Björksplintborre
Bronshjon</t>
        </is>
      </c>
      <c r="W8">
        <f>HYPERLINK("https://klasma.github.io/Logging_1764/artfynd/A 53755-2024 artfynd.xlsx", "A 53755-2024")</f>
        <v/>
      </c>
      <c r="X8">
        <f>HYPERLINK("https://klasma.github.io/Logging_1764/kartor/A 53755-2024 karta.png", "A 53755-2024")</f>
        <v/>
      </c>
      <c r="Y8">
        <f>HYPERLINK("https://klasma.github.io/Logging_1764/kartor_geotiff/A 53755-2024 georefererad karta.tif", "A 53755-2024")</f>
        <v/>
      </c>
      <c r="AA8">
        <f>HYPERLINK("https://klasma.github.io/Logging_1764/klagomål/A 53755-2024 FSC-klagomål.docx", "A 53755-2024")</f>
        <v/>
      </c>
      <c r="AB8">
        <f>HYPERLINK("https://klasma.github.io/Logging_1764/klagomålsmail/A 53755-2024 FSC-klagomål mail.docx", "A 53755-2024")</f>
        <v/>
      </c>
      <c r="AC8">
        <f>HYPERLINK("https://klasma.github.io/Logging_1764/tillsyn/A 53755-2024 tillsynsbegäran.docx", "A 53755-2024")</f>
        <v/>
      </c>
      <c r="AD8">
        <f>HYPERLINK("https://klasma.github.io/Logging_1764/tillsynsmail/A 53755-2024 tillsynsbegäran mail.docx", "A 53755-2024")</f>
        <v/>
      </c>
    </row>
    <row r="9" ht="15" customHeight="1">
      <c r="A9" t="inlineStr">
        <is>
          <t>A 34099-2026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46252</v>
      </c>
      <c r="E9" s="1" t="n">
        <v>46318</v>
      </c>
      <c r="F9" t="inlineStr">
        <is>
          <t>VÄRMLANDS LÄN</t>
        </is>
      </c>
      <c r="G9" t="inlineStr">
        <is>
          <t>GRUMS</t>
        </is>
      </c>
      <c r="I9" t="n">
        <v>1.7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</v>
      </c>
      <c r="T9" t="n">
        <v>6</v>
      </c>
      <c r="U9" t="n">
        <v>0</v>
      </c>
      <c r="V9" s="2" t="inlineStr">
        <is>
          <t>Dofttaggsvamp
Björksplintborre
Revlummer</t>
        </is>
      </c>
      <c r="W9">
        <f>HYPERLINK("https://klasma.github.io/Logging_1764/artfynd/A 34099-2026 artfynd.xlsx", "A 34099-2026")</f>
        <v/>
      </c>
      <c r="X9">
        <f>HYPERLINK("https://klasma.github.io/Logging_1764/kartor/A 34099-2026 karta.png", "A 34099-2026")</f>
        <v/>
      </c>
      <c r="Y9">
        <f>HYPERLINK("https://klasma.github.io/Logging_1764/kartor_geotiff/A 34099-2026 georefererad karta.tif", "A 34099-2026")</f>
        <v/>
      </c>
      <c r="AA9">
        <f>HYPERLINK("https://klasma.github.io/Logging_1764/klagomål/A 34099-2026 FSC-klagomål.docx", "A 34099-2026")</f>
        <v/>
      </c>
      <c r="AB9">
        <f>HYPERLINK("https://klasma.github.io/Logging_1764/klagomålsmail/A 34099-2026 FSC-klagomål mail.docx", "A 34099-2026")</f>
        <v/>
      </c>
      <c r="AC9">
        <f>HYPERLINK("https://klasma.github.io/Logging_1764/tillsyn/A 34099-2026 tillsynsbegäran.docx", "A 34099-2026")</f>
        <v/>
      </c>
      <c r="AD9">
        <f>HYPERLINK("https://klasma.github.io/Logging_1764/tillsynsmail/A 34099-2026 tillsynsbegäran mail.docx", "A 34099-2026")</f>
        <v/>
      </c>
    </row>
    <row r="10" ht="15" customHeight="1">
      <c r="A10" t="inlineStr">
        <is>
          <t>S 755-2023</t>
        </is>
      </c>
      <c r="B10" t="inlineStr">
        <is>
          <t>samrådsanmälan</t>
        </is>
      </c>
      <c r="C10" t="inlineStr">
        <is>
          <t>Askåterföring</t>
        </is>
      </c>
      <c r="D10" s="1" t="n">
        <v>44981</v>
      </c>
      <c r="E10" s="1" t="n">
        <v>46318</v>
      </c>
      <c r="F10" t="inlineStr">
        <is>
          <t>VÄRMLANDS LÄN</t>
        </is>
      </c>
      <c r="G10" t="inlineStr">
        <is>
          <t>GRUMS</t>
        </is>
      </c>
      <c r="H10" t="inlineStr">
        <is>
          <t>Bergvik skog väst AB</t>
        </is>
      </c>
      <c r="I10" t="n">
        <v>79.3</v>
      </c>
      <c r="J10" t="n">
        <v>2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3</v>
      </c>
      <c r="T10" t="n">
        <v>4</v>
      </c>
      <c r="U10" t="n">
        <v>4</v>
      </c>
      <c r="V10" s="2" t="inlineStr">
        <is>
          <t>Knärot
Motaggsvamp
Mattlummer</t>
        </is>
      </c>
      <c r="W10">
        <f>HYPERLINK("https://klasma.github.io/Logging_1764/artfynd/S 755-2023 artfynd.xlsx", "S 755-2023")</f>
        <v/>
      </c>
      <c r="X10">
        <f>HYPERLINK("https://klasma.github.io/Logging_1764/kartor/S 755-2023 karta.png", "S 755-2023")</f>
        <v/>
      </c>
      <c r="Y10">
        <f>HYPERLINK("https://klasma.github.io/Logging_1764/kartor_geotiff/S 755-2023 georefererad karta.tif", "S 755-2023")</f>
        <v/>
      </c>
      <c r="Z10">
        <f>HYPERLINK("https://klasma.github.io/Logging_1764/knärot/S 755-2023 karta knärot.png", "S 755-2023")</f>
        <v/>
      </c>
      <c r="AA10">
        <f>HYPERLINK("https://klasma.github.io/Logging_1764/klagomål/S 755-2023 FSC-klagomål.docx", "S 755-2023")</f>
        <v/>
      </c>
      <c r="AB10">
        <f>HYPERLINK("https://klasma.github.io/Logging_1764/klagomålsmail/S 755-2023 FSC-klagomål mail.docx", "S 755-2023")</f>
        <v/>
      </c>
      <c r="AC10">
        <f>HYPERLINK("https://klasma.github.io/Logging_1764/tillsyn/S 755-2023 tillsynsbegäran.docx", "S 755-2023")</f>
        <v/>
      </c>
      <c r="AD10">
        <f>HYPERLINK("https://klasma.github.io/Logging_1764/tillsynsmail/S 755-2023 tillsynsbegäran mail.docx", "S 755-2023")</f>
        <v/>
      </c>
    </row>
    <row r="11" ht="15" customHeight="1">
      <c r="A11" t="inlineStr">
        <is>
          <t>S 2217-2023</t>
        </is>
      </c>
      <c r="B11" t="inlineStr">
        <is>
          <t>samrådsanmälan</t>
        </is>
      </c>
      <c r="C11" t="inlineStr">
        <is>
          <t>Askåterföring</t>
        </is>
      </c>
      <c r="D11" s="1" t="n">
        <v>45099</v>
      </c>
      <c r="E11" s="1" t="n">
        <v>46318</v>
      </c>
      <c r="F11" t="inlineStr">
        <is>
          <t>VÄRMLANDS LÄN</t>
        </is>
      </c>
      <c r="G11" t="inlineStr">
        <is>
          <t>GRUMS</t>
        </is>
      </c>
      <c r="H11" t="inlineStr">
        <is>
          <t>Bergvik skog väst AB</t>
        </is>
      </c>
      <c r="I11" t="n">
        <v>39.1</v>
      </c>
      <c r="J11" t="n">
        <v>3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Plattlummer
Tjäder
Lopplummer (aggregat)</t>
        </is>
      </c>
      <c r="W11">
        <f>HYPERLINK("https://klasma.github.io/Logging_1764/artfynd/S 2217-2023 artfynd.xlsx", "S 2217-2023")</f>
        <v/>
      </c>
      <c r="X11">
        <f>HYPERLINK("https://klasma.github.io/Logging_1764/kartor/S 2217-2023 karta.png", "S 2217-2023")</f>
        <v/>
      </c>
      <c r="Y11">
        <f>HYPERLINK("https://klasma.github.io/Logging_1764/kartor_geotiff/S 2217-2023 georefererad karta.tif", "S 2217-2023")</f>
        <v/>
      </c>
      <c r="AA11">
        <f>HYPERLINK("https://klasma.github.io/Logging_1764/klagomål/S 2217-2023 FSC-klagomål.docx", "S 2217-2023")</f>
        <v/>
      </c>
      <c r="AB11">
        <f>HYPERLINK("https://klasma.github.io/Logging_1764/klagomålsmail/S 2217-2023 FSC-klagomål mail.docx", "S 2217-2023")</f>
        <v/>
      </c>
      <c r="AC11">
        <f>HYPERLINK("https://klasma.github.io/Logging_1764/tillsyn/S 2217-2023 tillsynsbegäran.docx", "S 2217-2023")</f>
        <v/>
      </c>
      <c r="AD11">
        <f>HYPERLINK("https://klasma.github.io/Logging_1764/tillsynsmail/S 2217-2023 tillsynsbegäran mail.docx", "S 2217-2023")</f>
        <v/>
      </c>
      <c r="AE11">
        <f>HYPERLINK("https://klasma.github.io/Logging_1764/fåglar/S 2217-2023 prioriterade fågelarter.docx", "S 2217-2023")</f>
        <v/>
      </c>
    </row>
    <row r="12" ht="15" customHeight="1">
      <c r="A12" t="inlineStr">
        <is>
          <t>A 41113-2025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45898</v>
      </c>
      <c r="E12" s="1" t="n">
        <v>46318</v>
      </c>
      <c r="F12" t="inlineStr">
        <is>
          <t>VÄRMLANDS LÄN</t>
        </is>
      </c>
      <c r="G12" t="inlineStr">
        <is>
          <t>GRUMS</t>
        </is>
      </c>
      <c r="I12" t="n">
        <v>4.2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3</v>
      </c>
      <c r="U12" t="n">
        <v>3</v>
      </c>
      <c r="V12" s="2" t="inlineStr">
        <is>
          <t>Violmussling
Tofsmes</t>
        </is>
      </c>
      <c r="W12">
        <f>HYPERLINK("https://klasma.github.io/Logging_1764/artfynd/A 41113-2025 artfynd.xlsx", "A 41113-2025")</f>
        <v/>
      </c>
      <c r="X12">
        <f>HYPERLINK("https://klasma.github.io/Logging_1764/kartor/A 41113-2025 karta.png", "A 41113-2025")</f>
        <v/>
      </c>
      <c r="Y12">
        <f>HYPERLINK("https://klasma.github.io/Logging_1764/kartor_geotiff/A 41113-2025 georefererad karta.tif", "A 41113-2025")</f>
        <v/>
      </c>
      <c r="AA12">
        <f>HYPERLINK("https://klasma.github.io/Logging_1764/klagomål/A 41113-2025 FSC-klagomål.docx", "A 41113-2025")</f>
        <v/>
      </c>
      <c r="AB12">
        <f>HYPERLINK("https://klasma.github.io/Logging_1764/klagomålsmail/A 41113-2025 FSC-klagomål mail.docx", "A 41113-2025")</f>
        <v/>
      </c>
      <c r="AC12">
        <f>HYPERLINK("https://klasma.github.io/Logging_1764/tillsyn/A 41113-2025 tillsynsbegäran.docx", "A 41113-2025")</f>
        <v/>
      </c>
      <c r="AD12">
        <f>HYPERLINK("https://klasma.github.io/Logging_1764/tillsynsmail/A 41113-2025 tillsynsbegäran mail.docx", "A 41113-2025")</f>
        <v/>
      </c>
    </row>
    <row r="13" ht="15" customHeight="1">
      <c r="A13" t="inlineStr">
        <is>
          <t>A 56386-2022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44890</v>
      </c>
      <c r="E13" s="1" t="n">
        <v>46318</v>
      </c>
      <c r="F13" t="inlineStr">
        <is>
          <t>VÄRMLANDS LÄN</t>
        </is>
      </c>
      <c r="G13" t="inlineStr">
        <is>
          <t>GRUMS</t>
        </is>
      </c>
      <c r="I13" t="n">
        <v>4.2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2</v>
      </c>
      <c r="T13" t="n">
        <v>2</v>
      </c>
      <c r="U13" t="n">
        <v>0</v>
      </c>
      <c r="V13" s="2" t="inlineStr">
        <is>
          <t>Vågfibbla
Rönnfibbla</t>
        </is>
      </c>
      <c r="W13">
        <f>HYPERLINK("https://klasma.github.io/Logging_1764/artfynd/A 56386-2022 artfynd.xlsx", "A 56386-2022")</f>
        <v/>
      </c>
      <c r="X13">
        <f>HYPERLINK("https://klasma.github.io/Logging_1764/kartor/A 56386-2022 karta.png", "A 56386-2022")</f>
        <v/>
      </c>
      <c r="Y13">
        <f>HYPERLINK("https://klasma.github.io/Logging_1764/kartor_geotiff/A 56386-2022 georefererad karta.tif", "A 56386-2022")</f>
        <v/>
      </c>
      <c r="AA13">
        <f>HYPERLINK("https://klasma.github.io/Logging_1764/klagomål/A 56386-2022 FSC-klagomål.docx", "A 56386-2022")</f>
        <v/>
      </c>
      <c r="AB13">
        <f>HYPERLINK("https://klasma.github.io/Logging_1764/klagomålsmail/A 56386-2022 FSC-klagomål mail.docx", "A 56386-2022")</f>
        <v/>
      </c>
      <c r="AC13">
        <f>HYPERLINK("https://klasma.github.io/Logging_1764/tillsyn/A 56386-2022 tillsynsbegäran.docx", "A 56386-2022")</f>
        <v/>
      </c>
      <c r="AD13">
        <f>HYPERLINK("https://klasma.github.io/Logging_1764/tillsynsmail/A 56386-2022 tillsynsbegäran mail.docx", "A 56386-2022")</f>
        <v/>
      </c>
    </row>
    <row r="14" ht="15" customHeight="1">
      <c r="A14" t="inlineStr">
        <is>
          <t>A 23860-2023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45078</v>
      </c>
      <c r="E14" s="1" t="n">
        <v>46318</v>
      </c>
      <c r="F14" t="inlineStr">
        <is>
          <t>VÄRMLANDS LÄN</t>
        </is>
      </c>
      <c r="G14" t="inlineStr">
        <is>
          <t>GRUMS</t>
        </is>
      </c>
      <c r="I14" t="n">
        <v>3.5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2</v>
      </c>
      <c r="U14" t="n">
        <v>2</v>
      </c>
      <c r="V14" s="2" t="inlineStr">
        <is>
          <t>Gullpudra
Gulsparv</t>
        </is>
      </c>
      <c r="W14">
        <f>HYPERLINK("https://klasma.github.io/Logging_1764/artfynd/A 23860-2023 artfynd.xlsx", "A 23860-2023")</f>
        <v/>
      </c>
      <c r="X14">
        <f>HYPERLINK("https://klasma.github.io/Logging_1764/kartor/A 23860-2023 karta.png", "A 23860-2023")</f>
        <v/>
      </c>
      <c r="Y14">
        <f>HYPERLINK("https://klasma.github.io/Logging_1764/kartor_geotiff/A 23860-2023 georefererad karta.tif", "A 23860-2023")</f>
        <v/>
      </c>
      <c r="AA14">
        <f>HYPERLINK("https://klasma.github.io/Logging_1764/klagomål/A 23860-2023 FSC-klagomål.docx", "A 23860-2023")</f>
        <v/>
      </c>
      <c r="AB14">
        <f>HYPERLINK("https://klasma.github.io/Logging_1764/klagomålsmail/A 23860-2023 FSC-klagomål mail.docx", "A 23860-2023")</f>
        <v/>
      </c>
      <c r="AC14">
        <f>HYPERLINK("https://klasma.github.io/Logging_1764/tillsyn/A 23860-2023 tillsynsbegäran.docx", "A 23860-2023")</f>
        <v/>
      </c>
      <c r="AD14">
        <f>HYPERLINK("https://klasma.github.io/Logging_1764/tillsynsmail/A 23860-2023 tillsynsbegäran mail.docx", "A 23860-2023")</f>
        <v/>
      </c>
      <c r="AE14">
        <f>HYPERLINK("https://klasma.github.io/Logging_1764/fåglar/A 23860-2023 prioriterade fågelarter.docx", "A 23860-2023")</f>
        <v/>
      </c>
    </row>
    <row r="15" ht="15" customHeight="1">
      <c r="A15" t="inlineStr">
        <is>
          <t>A 5280-2022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44593</v>
      </c>
      <c r="E15" s="1" t="n">
        <v>46318</v>
      </c>
      <c r="F15" t="inlineStr">
        <is>
          <t>VÄRMLANDS LÄN</t>
        </is>
      </c>
      <c r="G15" t="inlineStr">
        <is>
          <t>GRUMS</t>
        </is>
      </c>
      <c r="H15" t="inlineStr">
        <is>
          <t>Bergvik skog väst AB</t>
        </is>
      </c>
      <c r="I15" t="n">
        <v>37.1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4</v>
      </c>
      <c r="U15" t="n">
        <v>1</v>
      </c>
      <c r="V15" s="2" t="inlineStr">
        <is>
          <t>Ask
Tjäder</t>
        </is>
      </c>
      <c r="W15">
        <f>HYPERLINK("https://klasma.github.io/Logging_1764/artfynd/A 5280-2022 artfynd.xlsx", "A 5280-2022")</f>
        <v/>
      </c>
      <c r="X15">
        <f>HYPERLINK("https://klasma.github.io/Logging_1764/kartor/A 5280-2022 karta.png", "A 5280-2022")</f>
        <v/>
      </c>
      <c r="Y15">
        <f>HYPERLINK("https://klasma.github.io/Logging_1764/kartor_geotiff/A 5280-2022 georefererad karta.tif", "A 5280-2022")</f>
        <v/>
      </c>
      <c r="AA15">
        <f>HYPERLINK("https://klasma.github.io/Logging_1764/klagomål/A 5280-2022 FSC-klagomål.docx", "A 5280-2022")</f>
        <v/>
      </c>
      <c r="AB15">
        <f>HYPERLINK("https://klasma.github.io/Logging_1764/klagomålsmail/A 5280-2022 FSC-klagomål mail.docx", "A 5280-2022")</f>
        <v/>
      </c>
      <c r="AC15">
        <f>HYPERLINK("https://klasma.github.io/Logging_1764/tillsyn/A 5280-2022 tillsynsbegäran.docx", "A 5280-2022")</f>
        <v/>
      </c>
      <c r="AD15">
        <f>HYPERLINK("https://klasma.github.io/Logging_1764/tillsynsmail/A 5280-2022 tillsynsbegäran mail.docx", "A 5280-2022")</f>
        <v/>
      </c>
      <c r="AE15">
        <f>HYPERLINK("https://klasma.github.io/Logging_1764/fåglar/A 5280-2022 prioriterade fågelarter.docx", "A 5280-2022")</f>
        <v/>
      </c>
    </row>
    <row r="16" ht="15" customHeight="1">
      <c r="A16" t="inlineStr">
        <is>
          <t>A 66053-2021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44517</v>
      </c>
      <c r="E16" s="1" t="n">
        <v>46318</v>
      </c>
      <c r="F16" t="inlineStr">
        <is>
          <t>VÄRMLANDS LÄN</t>
        </is>
      </c>
      <c r="G16" t="inlineStr">
        <is>
          <t>GRUMS</t>
        </is>
      </c>
      <c r="I16" t="n">
        <v>1.4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6</v>
      </c>
      <c r="U16" t="n">
        <v>6</v>
      </c>
      <c r="V16" s="2" t="inlineStr">
        <is>
          <t>Björksplintborre
Bronshjon</t>
        </is>
      </c>
      <c r="W16">
        <f>HYPERLINK("https://klasma.github.io/Logging_1764/artfynd/A 66053-2021 artfynd.xlsx", "A 66053-2021")</f>
        <v/>
      </c>
      <c r="X16">
        <f>HYPERLINK("https://klasma.github.io/Logging_1764/kartor/A 66053-2021 karta.png", "A 66053-2021")</f>
        <v/>
      </c>
      <c r="Y16">
        <f>HYPERLINK("https://klasma.github.io/Logging_1764/kartor_geotiff/A 66053-2021 georefererad karta.tif", "A 66053-2021")</f>
        <v/>
      </c>
      <c r="AA16">
        <f>HYPERLINK("https://klasma.github.io/Logging_1764/klagomål/A 66053-2021 FSC-klagomål.docx", "A 66053-2021")</f>
        <v/>
      </c>
      <c r="AB16">
        <f>HYPERLINK("https://klasma.github.io/Logging_1764/klagomålsmail/A 66053-2021 FSC-klagomål mail.docx", "A 66053-2021")</f>
        <v/>
      </c>
      <c r="AC16">
        <f>HYPERLINK("https://klasma.github.io/Logging_1764/tillsyn/A 66053-2021 tillsynsbegäran.docx", "A 66053-2021")</f>
        <v/>
      </c>
      <c r="AD16">
        <f>HYPERLINK("https://klasma.github.io/Logging_1764/tillsynsmail/A 66053-2021 tillsynsbegäran mail.docx", "A 66053-2021")</f>
        <v/>
      </c>
    </row>
    <row r="17" ht="15" customHeight="1">
      <c r="A17" t="inlineStr">
        <is>
          <t>A 57233-2023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45245</v>
      </c>
      <c r="E17" s="1" t="n">
        <v>46318</v>
      </c>
      <c r="F17" t="inlineStr">
        <is>
          <t>VÄRMLANDS LÄN</t>
        </is>
      </c>
      <c r="G17" t="inlineStr">
        <is>
          <t>GRUMS</t>
        </is>
      </c>
      <c r="I17" t="n">
        <v>1.4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6</v>
      </c>
      <c r="U17" t="n">
        <v>6</v>
      </c>
      <c r="V17" s="2" t="inlineStr">
        <is>
          <t>Jungfrulin
Skogsklocka</t>
        </is>
      </c>
      <c r="W17">
        <f>HYPERLINK("https://klasma.github.io/Logging_1764/artfynd/A 57233-2023 artfynd.xlsx", "A 57233-2023")</f>
        <v/>
      </c>
      <c r="X17">
        <f>HYPERLINK("https://klasma.github.io/Logging_1764/kartor/A 57233-2023 karta.png", "A 57233-2023")</f>
        <v/>
      </c>
      <c r="Y17">
        <f>HYPERLINK("https://klasma.github.io/Logging_1764/kartor_geotiff/A 57233-2023 georefererad karta.tif", "A 57233-2023")</f>
        <v/>
      </c>
      <c r="AA17">
        <f>HYPERLINK("https://klasma.github.io/Logging_1764/klagomål/A 57233-2023 FSC-klagomål.docx", "A 57233-2023")</f>
        <v/>
      </c>
      <c r="AB17">
        <f>HYPERLINK("https://klasma.github.io/Logging_1764/klagomålsmail/A 57233-2023 FSC-klagomål mail.docx", "A 57233-2023")</f>
        <v/>
      </c>
      <c r="AC17">
        <f>HYPERLINK("https://klasma.github.io/Logging_1764/tillsyn/A 57233-2023 tillsynsbegäran.docx", "A 57233-2023")</f>
        <v/>
      </c>
      <c r="AD17">
        <f>HYPERLINK("https://klasma.github.io/Logging_1764/tillsynsmail/A 57233-2023 tillsynsbegäran mail.docx", "A 57233-2023")</f>
        <v/>
      </c>
    </row>
    <row r="18" ht="15" customHeight="1">
      <c r="A18" t="inlineStr">
        <is>
          <t>A 7931-2025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45706</v>
      </c>
      <c r="E18" s="1" t="n">
        <v>46318</v>
      </c>
      <c r="F18" t="inlineStr">
        <is>
          <t>VÄRMLANDS LÄN</t>
        </is>
      </c>
      <c r="G18" t="inlineStr">
        <is>
          <t>GRUMS</t>
        </is>
      </c>
      <c r="H18" t="inlineStr">
        <is>
          <t>Bergvik skog väst AB</t>
        </is>
      </c>
      <c r="I18" t="n">
        <v>13.8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1</v>
      </c>
      <c r="V18" s="2" t="inlineStr">
        <is>
          <t>Blåsippa
Skogsödla</t>
        </is>
      </c>
      <c r="W18">
        <f>HYPERLINK("https://klasma.github.io/Logging_1764/artfynd/A 7931-2025 artfynd.xlsx", "A 7931-2025")</f>
        <v/>
      </c>
      <c r="X18">
        <f>HYPERLINK("https://klasma.github.io/Logging_1764/kartor/A 7931-2025 karta.png", "A 7931-2025")</f>
        <v/>
      </c>
      <c r="Y18">
        <f>HYPERLINK("https://klasma.github.io/Logging_1764/kartor_geotiff/A 7931-2025 georefererad karta.tif", "A 7931-2025")</f>
        <v/>
      </c>
      <c r="AA18">
        <f>HYPERLINK("https://klasma.github.io/Logging_1764/klagomål/A 7931-2025 FSC-klagomål.docx", "A 7931-2025")</f>
        <v/>
      </c>
      <c r="AB18">
        <f>HYPERLINK("https://klasma.github.io/Logging_1764/klagomålsmail/A 7931-2025 FSC-klagomål mail.docx", "A 7931-2025")</f>
        <v/>
      </c>
      <c r="AC18">
        <f>HYPERLINK("https://klasma.github.io/Logging_1764/tillsyn/A 7931-2025 tillsynsbegäran.docx", "A 7931-2025")</f>
        <v/>
      </c>
      <c r="AD18">
        <f>HYPERLINK("https://klasma.github.io/Logging_1764/tillsynsmail/A 7931-2025 tillsynsbegäran mail.docx", "A 7931-2025")</f>
        <v/>
      </c>
    </row>
    <row r="19" ht="15" customHeight="1">
      <c r="A19" t="inlineStr">
        <is>
          <t>S 2219-2023</t>
        </is>
      </c>
      <c r="B19" t="inlineStr">
        <is>
          <t>samrådsanmälan</t>
        </is>
      </c>
      <c r="C19" t="inlineStr">
        <is>
          <t>Askåterföring</t>
        </is>
      </c>
      <c r="D19" s="1" t="n">
        <v>45099</v>
      </c>
      <c r="E19" s="1" t="n">
        <v>46318</v>
      </c>
      <c r="F19" t="inlineStr">
        <is>
          <t>VÄRMLANDS LÄN</t>
        </is>
      </c>
      <c r="G19" t="inlineStr">
        <is>
          <t>GRUMS</t>
        </is>
      </c>
      <c r="H19" t="inlineStr">
        <is>
          <t>Bergvik skog väst AB</t>
        </is>
      </c>
      <c r="I19" t="n">
        <v>51.8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3</v>
      </c>
      <c r="U19" t="n">
        <v>3</v>
      </c>
      <c r="V19" s="2" t="inlineStr">
        <is>
          <t>Göktyta
Tjäder</t>
        </is>
      </c>
      <c r="W19">
        <f>HYPERLINK("https://klasma.github.io/Logging_1764/artfynd/S 2219-2023 artfynd.xlsx", "S 2219-2023")</f>
        <v/>
      </c>
      <c r="X19">
        <f>HYPERLINK("https://klasma.github.io/Logging_1764/kartor/S 2219-2023 karta.png", "S 2219-2023")</f>
        <v/>
      </c>
      <c r="Y19">
        <f>HYPERLINK("https://klasma.github.io/Logging_1764/kartor_geotiff/S 2219-2023 georefererad karta.tif", "S 2219-2023")</f>
        <v/>
      </c>
      <c r="AA19">
        <f>HYPERLINK("https://klasma.github.io/Logging_1764/klagomål/S 2219-2023 FSC-klagomål.docx", "S 2219-2023")</f>
        <v/>
      </c>
      <c r="AB19">
        <f>HYPERLINK("https://klasma.github.io/Logging_1764/klagomålsmail/S 2219-2023 FSC-klagomål mail.docx", "S 2219-2023")</f>
        <v/>
      </c>
      <c r="AC19">
        <f>HYPERLINK("https://klasma.github.io/Logging_1764/tillsyn/S 2219-2023 tillsynsbegäran.docx", "S 2219-2023")</f>
        <v/>
      </c>
      <c r="AD19">
        <f>HYPERLINK("https://klasma.github.io/Logging_1764/tillsynsmail/S 2219-2023 tillsynsbegäran mail.docx", "S 2219-2023")</f>
        <v/>
      </c>
      <c r="AE19">
        <f>HYPERLINK("https://klasma.github.io/Logging_1764/fåglar/S 2219-2023 prioriterade fågelarter.docx", "S 2219-2023")</f>
        <v/>
      </c>
    </row>
    <row r="20" ht="15" customHeight="1">
      <c r="A20" t="inlineStr">
        <is>
          <t>S 6993-2022</t>
        </is>
      </c>
      <c r="B20" t="inlineStr">
        <is>
          <t>samrådsanmälan</t>
        </is>
      </c>
      <c r="C20" t="inlineStr">
        <is>
          <t>Askåterföring</t>
        </is>
      </c>
      <c r="D20" s="1" t="n">
        <v>44901</v>
      </c>
      <c r="E20" s="1" t="n">
        <v>46318</v>
      </c>
      <c r="F20" t="inlineStr">
        <is>
          <t>VÄRMLANDS LÄN</t>
        </is>
      </c>
      <c r="G20" t="inlineStr">
        <is>
          <t>GRUMS</t>
        </is>
      </c>
      <c r="H20" t="inlineStr">
        <is>
          <t>Bergvik skog väst AB</t>
        </is>
      </c>
      <c r="I20" t="n">
        <v>44.4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Trana
Fläcknycklar</t>
        </is>
      </c>
      <c r="W20">
        <f>HYPERLINK("https://klasma.github.io/Logging_1764/artfynd/S 6993-2022 artfynd.xlsx", "S 6993-2022")</f>
        <v/>
      </c>
      <c r="X20">
        <f>HYPERLINK("https://klasma.github.io/Logging_1764/kartor/S 6993-2022 karta.png", "S 6993-2022")</f>
        <v/>
      </c>
      <c r="Y20">
        <f>HYPERLINK("https://klasma.github.io/Logging_1764/kartor_geotiff/S 6993-2022 georefererad karta.tif", "S 6993-2022")</f>
        <v/>
      </c>
      <c r="AA20">
        <f>HYPERLINK("https://klasma.github.io/Logging_1764/klagomål/S 6993-2022 FSC-klagomål.docx", "S 6993-2022")</f>
        <v/>
      </c>
      <c r="AB20">
        <f>HYPERLINK("https://klasma.github.io/Logging_1764/klagomålsmail/S 6993-2022 FSC-klagomål mail.docx", "S 6993-2022")</f>
        <v/>
      </c>
      <c r="AC20">
        <f>HYPERLINK("https://klasma.github.io/Logging_1764/tillsyn/S 6993-2022 tillsynsbegäran.docx", "S 6993-2022")</f>
        <v/>
      </c>
      <c r="AD20">
        <f>HYPERLINK("https://klasma.github.io/Logging_1764/tillsynsmail/S 6993-2022 tillsynsbegäran mail.docx", "S 6993-2022")</f>
        <v/>
      </c>
      <c r="AE20">
        <f>HYPERLINK("https://klasma.github.io/Logging_1764/fåglar/S 6993-2022 prioriterade fågelarter.docx", "S 6993-2022")</f>
        <v/>
      </c>
    </row>
    <row r="21" ht="15" customHeight="1">
      <c r="A21" t="inlineStr">
        <is>
          <t>A 59760-2021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44494</v>
      </c>
      <c r="E21" s="1" t="n">
        <v>46318</v>
      </c>
      <c r="F21" t="inlineStr">
        <is>
          <t>VÄRMLANDS LÄN</t>
        </is>
      </c>
      <c r="G21" t="inlineStr">
        <is>
          <t>GRUMS</t>
        </is>
      </c>
      <c r="I21" t="n">
        <v>1.9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Bronshjon</t>
        </is>
      </c>
      <c r="W21">
        <f>HYPERLINK("https://klasma.github.io/Logging_1764/artfynd/A 59760-2021 artfynd.xlsx", "A 59760-2021")</f>
        <v/>
      </c>
      <c r="X21">
        <f>HYPERLINK("https://klasma.github.io/Logging_1764/kartor/A 59760-2021 karta.png", "A 59760-2021")</f>
        <v/>
      </c>
      <c r="Y21">
        <f>HYPERLINK("https://klasma.github.io/Logging_1764/kartor_geotiff/A 59760-2021 georefererad karta.tif", "A 59760-2021")</f>
        <v/>
      </c>
      <c r="AA21">
        <f>HYPERLINK("https://klasma.github.io/Logging_1764/klagomål/A 59760-2021 FSC-klagomål.docx", "A 59760-2021")</f>
        <v/>
      </c>
      <c r="AB21">
        <f>HYPERLINK("https://klasma.github.io/Logging_1764/klagomålsmail/A 59760-2021 FSC-klagomål mail.docx", "A 59760-2021")</f>
        <v/>
      </c>
      <c r="AC21">
        <f>HYPERLINK("https://klasma.github.io/Logging_1764/tillsyn/A 59760-2021 tillsynsbegäran.docx", "A 59760-2021")</f>
        <v/>
      </c>
      <c r="AD21">
        <f>HYPERLINK("https://klasma.github.io/Logging_1764/tillsynsmail/A 59760-2021 tillsynsbegäran mail.docx", "A 59760-2021")</f>
        <v/>
      </c>
    </row>
    <row r="22" ht="15" customHeight="1">
      <c r="A22" t="inlineStr">
        <is>
          <t>A 4178-2022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44588</v>
      </c>
      <c r="E22" s="1" t="n">
        <v>46318</v>
      </c>
      <c r="F22" t="inlineStr">
        <is>
          <t>VÄRMLANDS LÄN</t>
        </is>
      </c>
      <c r="G22" t="inlineStr">
        <is>
          <t>GRUMS</t>
        </is>
      </c>
      <c r="I22" t="n">
        <v>0.9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</v>
      </c>
      <c r="U22" t="n">
        <v>2</v>
      </c>
      <c r="V22" s="2" t="inlineStr">
        <is>
          <t>Skogsklocka</t>
        </is>
      </c>
      <c r="W22">
        <f>HYPERLINK("https://klasma.github.io/Logging_1764/artfynd/A 4178-2022 artfynd.xlsx", "A 4178-2022")</f>
        <v/>
      </c>
      <c r="X22">
        <f>HYPERLINK("https://klasma.github.io/Logging_1764/kartor/A 4178-2022 karta.png", "A 4178-2022")</f>
        <v/>
      </c>
      <c r="Y22">
        <f>HYPERLINK("https://klasma.github.io/Logging_1764/kartor_geotiff/A 4178-2022 georefererad karta.tif", "A 4178-2022")</f>
        <v/>
      </c>
      <c r="AA22">
        <f>HYPERLINK("https://klasma.github.io/Logging_1764/klagomål/A 4178-2022 FSC-klagomål.docx", "A 4178-2022")</f>
        <v/>
      </c>
      <c r="AB22">
        <f>HYPERLINK("https://klasma.github.io/Logging_1764/klagomålsmail/A 4178-2022 FSC-klagomål mail.docx", "A 4178-2022")</f>
        <v/>
      </c>
      <c r="AC22">
        <f>HYPERLINK("https://klasma.github.io/Logging_1764/tillsyn/A 4178-2022 tillsynsbegäran.docx", "A 4178-2022")</f>
        <v/>
      </c>
      <c r="AD22">
        <f>HYPERLINK("https://klasma.github.io/Logging_1764/tillsynsmail/A 4178-2022 tillsynsbegäran mail.docx", "A 4178-2022")</f>
        <v/>
      </c>
    </row>
    <row r="23" ht="15" customHeight="1">
      <c r="A23" t="inlineStr">
        <is>
          <t>A 34357-2022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44792</v>
      </c>
      <c r="E23" s="1" t="n">
        <v>46318</v>
      </c>
      <c r="F23" t="inlineStr">
        <is>
          <t>VÄRMLANDS LÄN</t>
        </is>
      </c>
      <c r="G23" t="inlineStr">
        <is>
          <t>GRUMS</t>
        </is>
      </c>
      <c r="I23" t="n">
        <v>15.3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Skogsklocka</t>
        </is>
      </c>
      <c r="W23">
        <f>HYPERLINK("https://klasma.github.io/Logging_1764/artfynd/A 34357-2022 artfynd.xlsx", "A 34357-2022")</f>
        <v/>
      </c>
      <c r="X23">
        <f>HYPERLINK("https://klasma.github.io/Logging_1764/kartor/A 34357-2022 karta.png", "A 34357-2022")</f>
        <v/>
      </c>
      <c r="Y23">
        <f>HYPERLINK("https://klasma.github.io/Logging_1764/kartor_geotiff/A 34357-2022 georefererad karta.tif", "A 34357-2022")</f>
        <v/>
      </c>
      <c r="AA23">
        <f>HYPERLINK("https://klasma.github.io/Logging_1764/klagomål/A 34357-2022 FSC-klagomål.docx", "A 34357-2022")</f>
        <v/>
      </c>
      <c r="AB23">
        <f>HYPERLINK("https://klasma.github.io/Logging_1764/klagomålsmail/A 34357-2022 FSC-klagomål mail.docx", "A 34357-2022")</f>
        <v/>
      </c>
      <c r="AC23">
        <f>HYPERLINK("https://klasma.github.io/Logging_1764/tillsyn/A 34357-2022 tillsynsbegäran.docx", "A 34357-2022")</f>
        <v/>
      </c>
      <c r="AD23">
        <f>HYPERLINK("https://klasma.github.io/Logging_1764/tillsynsmail/A 34357-2022 tillsynsbegäran mail.docx", "A 34357-2022")</f>
        <v/>
      </c>
    </row>
    <row r="24" ht="15" customHeight="1">
      <c r="A24" t="inlineStr">
        <is>
          <t>A 29582-2024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45484</v>
      </c>
      <c r="E24" s="1" t="n">
        <v>46318</v>
      </c>
      <c r="F24" t="inlineStr">
        <is>
          <t>VÄRMLANDS LÄN</t>
        </is>
      </c>
      <c r="G24" t="inlineStr">
        <is>
          <t>GRUMS</t>
        </is>
      </c>
      <c r="H24" t="inlineStr">
        <is>
          <t>Bergvik skog väst AB</t>
        </is>
      </c>
      <c r="I24" t="n">
        <v>3.1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Grön sköldmossa</t>
        </is>
      </c>
      <c r="W24">
        <f>HYPERLINK("https://klasma.github.io/Logging_1764/artfynd/A 29582-2024 artfynd.xlsx", "A 29582-2024")</f>
        <v/>
      </c>
      <c r="X24">
        <f>HYPERLINK("https://klasma.github.io/Logging_1764/kartor/A 29582-2024 karta.png", "A 29582-2024")</f>
        <v/>
      </c>
      <c r="Y24">
        <f>HYPERLINK("https://klasma.github.io/Logging_1764/kartor_geotiff/A 29582-2024 georefererad karta.tif", "A 29582-2024")</f>
        <v/>
      </c>
      <c r="AA24">
        <f>HYPERLINK("https://klasma.github.io/Logging_1764/klagomål/A 29582-2024 FSC-klagomål.docx", "A 29582-2024")</f>
        <v/>
      </c>
      <c r="AB24">
        <f>HYPERLINK("https://klasma.github.io/Logging_1764/klagomålsmail/A 29582-2024 FSC-klagomål mail.docx", "A 29582-2024")</f>
        <v/>
      </c>
      <c r="AC24">
        <f>HYPERLINK("https://klasma.github.io/Logging_1764/tillsyn/A 29582-2024 tillsynsbegäran.docx", "A 29582-2024")</f>
        <v/>
      </c>
      <c r="AD24">
        <f>HYPERLINK("https://klasma.github.io/Logging_1764/tillsynsmail/A 29582-2024 tillsynsbegäran mail.docx", "A 29582-2024")</f>
        <v/>
      </c>
    </row>
    <row r="25" ht="15" customHeight="1">
      <c r="A25" t="inlineStr">
        <is>
          <t>A 13121-2023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45002</v>
      </c>
      <c r="E25" s="1" t="n">
        <v>46318</v>
      </c>
      <c r="F25" t="inlineStr">
        <is>
          <t>VÄRMLANDS LÄN</t>
        </is>
      </c>
      <c r="G25" t="inlineStr">
        <is>
          <t>GRUMS</t>
        </is>
      </c>
      <c r="I25" t="n">
        <v>0.6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Revlummer</t>
        </is>
      </c>
      <c r="W25">
        <f>HYPERLINK("https://klasma.github.io/Logging_1764/artfynd/A 13121-2023 artfynd.xlsx", "A 13121-2023")</f>
        <v/>
      </c>
      <c r="X25">
        <f>HYPERLINK("https://klasma.github.io/Logging_1764/kartor/A 13121-2023 karta.png", "A 13121-2023")</f>
        <v/>
      </c>
      <c r="Y25">
        <f>HYPERLINK("https://klasma.github.io/Logging_1764/kartor_geotiff/A 13121-2023 georefererad karta.tif", "A 13121-2023")</f>
        <v/>
      </c>
      <c r="AA25">
        <f>HYPERLINK("https://klasma.github.io/Logging_1764/klagomål/A 13121-2023 FSC-klagomål.docx", "A 13121-2023")</f>
        <v/>
      </c>
      <c r="AB25">
        <f>HYPERLINK("https://klasma.github.io/Logging_1764/klagomålsmail/A 13121-2023 FSC-klagomål mail.docx", "A 13121-2023")</f>
        <v/>
      </c>
      <c r="AC25">
        <f>HYPERLINK("https://klasma.github.io/Logging_1764/tillsyn/A 13121-2023 tillsynsbegäran.docx", "A 13121-2023")</f>
        <v/>
      </c>
      <c r="AD25">
        <f>HYPERLINK("https://klasma.github.io/Logging_1764/tillsynsmail/A 13121-2023 tillsynsbegäran mail.docx", "A 13121-2023")</f>
        <v/>
      </c>
    </row>
    <row r="26" ht="15" customHeight="1">
      <c r="A26" t="inlineStr">
        <is>
          <t>A 47146-2025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45929</v>
      </c>
      <c r="E26" s="1" t="n">
        <v>46318</v>
      </c>
      <c r="F26" t="inlineStr">
        <is>
          <t>VÄRMLANDS LÄN</t>
        </is>
      </c>
      <c r="G26" t="inlineStr">
        <is>
          <t>GRUMS</t>
        </is>
      </c>
      <c r="H26" t="inlineStr">
        <is>
          <t>Bergvik skog väst AB</t>
        </is>
      </c>
      <c r="I26" t="n">
        <v>7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Duvhök</t>
        </is>
      </c>
      <c r="W26">
        <f>HYPERLINK("https://klasma.github.io/Logging_1764/artfynd/A 47146-2025 artfynd.xlsx", "A 47146-2025")</f>
        <v/>
      </c>
      <c r="X26">
        <f>HYPERLINK("https://klasma.github.io/Logging_1764/kartor/A 47146-2025 karta.png", "A 47146-2025")</f>
        <v/>
      </c>
      <c r="Y26">
        <f>HYPERLINK("https://klasma.github.io/Logging_1764/kartor_geotiff/A 47146-2025 georefererad karta.tif", "A 47146-2025")</f>
        <v/>
      </c>
      <c r="AA26">
        <f>HYPERLINK("https://klasma.github.io/Logging_1764/klagomål/A 47146-2025 FSC-klagomål.docx", "A 47146-2025")</f>
        <v/>
      </c>
      <c r="AB26">
        <f>HYPERLINK("https://klasma.github.io/Logging_1764/klagomålsmail/A 47146-2025 FSC-klagomål mail.docx", "A 47146-2025")</f>
        <v/>
      </c>
      <c r="AC26">
        <f>HYPERLINK("https://klasma.github.io/Logging_1764/tillsyn/A 47146-2025 tillsynsbegäran.docx", "A 47146-2025")</f>
        <v/>
      </c>
      <c r="AD26">
        <f>HYPERLINK("https://klasma.github.io/Logging_1764/tillsynsmail/A 47146-2025 tillsynsbegäran mail.docx", "A 47146-2025")</f>
        <v/>
      </c>
      <c r="AE26">
        <f>HYPERLINK("https://klasma.github.io/Logging_1764/fåglar/A 47146-2025 prioriterade fågelarter.docx", "A 47146-2025")</f>
        <v/>
      </c>
    </row>
    <row r="27" ht="15" customHeight="1">
      <c r="A27" t="inlineStr">
        <is>
          <t>A 30411-2025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45827</v>
      </c>
      <c r="E27" s="1" t="n">
        <v>46318</v>
      </c>
      <c r="F27" t="inlineStr">
        <is>
          <t>VÄRMLANDS LÄN</t>
        </is>
      </c>
      <c r="G27" t="inlineStr">
        <is>
          <t>GRUMS</t>
        </is>
      </c>
      <c r="I27" t="n">
        <v>1.5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Fläcknycklar</t>
        </is>
      </c>
      <c r="W27">
        <f>HYPERLINK("https://klasma.github.io/Logging_1764/artfynd/A 30411-2025 artfynd.xlsx", "A 30411-2025")</f>
        <v/>
      </c>
      <c r="X27">
        <f>HYPERLINK("https://klasma.github.io/Logging_1764/kartor/A 30411-2025 karta.png", "A 30411-2025")</f>
        <v/>
      </c>
      <c r="Y27">
        <f>HYPERLINK("https://klasma.github.io/Logging_1764/kartor_geotiff/A 30411-2025 georefererad karta.tif", "A 30411-2025")</f>
        <v/>
      </c>
      <c r="AA27">
        <f>HYPERLINK("https://klasma.github.io/Logging_1764/klagomål/A 30411-2025 FSC-klagomål.docx", "A 30411-2025")</f>
        <v/>
      </c>
      <c r="AB27">
        <f>HYPERLINK("https://klasma.github.io/Logging_1764/klagomålsmail/A 30411-2025 FSC-klagomål mail.docx", "A 30411-2025")</f>
        <v/>
      </c>
      <c r="AC27">
        <f>HYPERLINK("https://klasma.github.io/Logging_1764/tillsyn/A 30411-2025 tillsynsbegäran.docx", "A 30411-2025")</f>
        <v/>
      </c>
      <c r="AD27">
        <f>HYPERLINK("https://klasma.github.io/Logging_1764/tillsynsmail/A 30411-2025 tillsynsbegäran mail.docx", "A 30411-2025")</f>
        <v/>
      </c>
    </row>
    <row r="28" ht="15" customHeight="1">
      <c r="A28" t="inlineStr">
        <is>
          <t>A 37339-2022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44806</v>
      </c>
      <c r="E28" s="1" t="n">
        <v>46318</v>
      </c>
      <c r="F28" t="inlineStr">
        <is>
          <t>VÄRMLANDS LÄN</t>
        </is>
      </c>
      <c r="G28" t="inlineStr">
        <is>
          <t>GRUMS</t>
        </is>
      </c>
      <c r="I28" t="n">
        <v>1.8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Skogsklocka</t>
        </is>
      </c>
      <c r="W28">
        <f>HYPERLINK("https://klasma.github.io/Logging_1764/artfynd/A 37339-2022 artfynd.xlsx", "A 37339-2022")</f>
        <v/>
      </c>
      <c r="X28">
        <f>HYPERLINK("https://klasma.github.io/Logging_1764/kartor/A 37339-2022 karta.png", "A 37339-2022")</f>
        <v/>
      </c>
      <c r="Y28">
        <f>HYPERLINK("https://klasma.github.io/Logging_1764/kartor_geotiff/A 37339-2022 georefererad karta.tif", "A 37339-2022")</f>
        <v/>
      </c>
      <c r="AA28">
        <f>HYPERLINK("https://klasma.github.io/Logging_1764/klagomål/A 37339-2022 FSC-klagomål.docx", "A 37339-2022")</f>
        <v/>
      </c>
      <c r="AB28">
        <f>HYPERLINK("https://klasma.github.io/Logging_1764/klagomålsmail/A 37339-2022 FSC-klagomål mail.docx", "A 37339-2022")</f>
        <v/>
      </c>
      <c r="AC28">
        <f>HYPERLINK("https://klasma.github.io/Logging_1764/tillsyn/A 37339-2022 tillsynsbegäran.docx", "A 37339-2022")</f>
        <v/>
      </c>
      <c r="AD28">
        <f>HYPERLINK("https://klasma.github.io/Logging_1764/tillsynsmail/A 37339-2022 tillsynsbegäran mail.docx", "A 37339-2022")</f>
        <v/>
      </c>
    </row>
    <row r="29" ht="15" customHeight="1">
      <c r="A29" t="inlineStr">
        <is>
          <t>A 8363-2025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45708</v>
      </c>
      <c r="E29" s="1" t="n">
        <v>46318</v>
      </c>
      <c r="F29" t="inlineStr">
        <is>
          <t>VÄRMLANDS LÄN</t>
        </is>
      </c>
      <c r="G29" t="inlineStr">
        <is>
          <t>GRUMS</t>
        </is>
      </c>
      <c r="I29" t="n">
        <v>1.7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Mandelriska</t>
        </is>
      </c>
      <c r="W29">
        <f>HYPERLINK("https://klasma.github.io/Logging_1764/artfynd/A 8363-2025 artfynd.xlsx", "A 8363-2025")</f>
        <v/>
      </c>
      <c r="X29">
        <f>HYPERLINK("https://klasma.github.io/Logging_1764/kartor/A 8363-2025 karta.png", "A 8363-2025")</f>
        <v/>
      </c>
      <c r="Y29">
        <f>HYPERLINK("https://klasma.github.io/Logging_1764/kartor_geotiff/A 8363-2025 georefererad karta.tif", "A 8363-2025")</f>
        <v/>
      </c>
      <c r="AA29">
        <f>HYPERLINK("https://klasma.github.io/Logging_1764/klagomål/A 8363-2025 FSC-klagomål.docx", "A 8363-2025")</f>
        <v/>
      </c>
      <c r="AB29">
        <f>HYPERLINK("https://klasma.github.io/Logging_1764/klagomålsmail/A 8363-2025 FSC-klagomål mail.docx", "A 8363-2025")</f>
        <v/>
      </c>
      <c r="AC29">
        <f>HYPERLINK("https://klasma.github.io/Logging_1764/tillsyn/A 8363-2025 tillsynsbegäran.docx", "A 8363-2025")</f>
        <v/>
      </c>
      <c r="AD29">
        <f>HYPERLINK("https://klasma.github.io/Logging_1764/tillsynsmail/A 8363-2025 tillsynsbegäran mail.docx", "A 8363-2025")</f>
        <v/>
      </c>
    </row>
    <row r="30" ht="15" customHeight="1">
      <c r="A30" t="inlineStr">
        <is>
          <t>A 17122-2024</t>
        </is>
      </c>
      <c r="B30" t="inlineStr">
        <is>
          <t>avverkningsanmälan</t>
        </is>
      </c>
      <c r="C30" t="inlineStr">
        <is>
          <t>Avverkning för annat ändamål</t>
        </is>
      </c>
      <c r="D30" s="1" t="n">
        <v>45412</v>
      </c>
      <c r="E30" s="1" t="n">
        <v>46318</v>
      </c>
      <c r="F30" t="inlineStr">
        <is>
          <t>VÄRMLANDS LÄN</t>
        </is>
      </c>
      <c r="G30" t="inlineStr">
        <is>
          <t>GRUMS</t>
        </is>
      </c>
      <c r="I30" t="n">
        <v>1.7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Skogsklocka</t>
        </is>
      </c>
      <c r="W30">
        <f>HYPERLINK("https://klasma.github.io/Logging_1764/artfynd/A 17122-2024 artfynd.xlsx", "A 17122-2024")</f>
        <v/>
      </c>
      <c r="X30">
        <f>HYPERLINK("https://klasma.github.io/Logging_1764/kartor/A 17122-2024 karta.png", "A 17122-2024")</f>
        <v/>
      </c>
      <c r="Y30">
        <f>HYPERLINK("https://klasma.github.io/Logging_1764/kartor_geotiff/A 17122-2024 georefererad karta.tif", "A 17122-2024")</f>
        <v/>
      </c>
      <c r="AA30">
        <f>HYPERLINK("https://klasma.github.io/Logging_1764/klagomål/A 17122-2024 FSC-klagomål.docx", "A 17122-2024")</f>
        <v/>
      </c>
      <c r="AB30">
        <f>HYPERLINK("https://klasma.github.io/Logging_1764/klagomålsmail/A 17122-2024 FSC-klagomål mail.docx", "A 17122-2024")</f>
        <v/>
      </c>
      <c r="AC30">
        <f>HYPERLINK("https://klasma.github.io/Logging_1764/tillsyn/A 17122-2024 tillsynsbegäran.docx", "A 17122-2024")</f>
        <v/>
      </c>
      <c r="AD30">
        <f>HYPERLINK("https://klasma.github.io/Logging_1764/tillsynsmail/A 17122-2024 tillsynsbegäran mail.docx", "A 17122-2024")</f>
        <v/>
      </c>
    </row>
    <row r="31" ht="15" customHeight="1">
      <c r="A31" t="inlineStr">
        <is>
          <t>A 41878-2024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45561</v>
      </c>
      <c r="E31" s="1" t="n">
        <v>46318</v>
      </c>
      <c r="F31" t="inlineStr">
        <is>
          <t>VÄRMLANDS LÄN</t>
        </is>
      </c>
      <c r="G31" t="inlineStr">
        <is>
          <t>GRUMS</t>
        </is>
      </c>
      <c r="H31" t="inlineStr">
        <is>
          <t>Bergvik skog väst AB</t>
        </is>
      </c>
      <c r="I31" t="n">
        <v>15.9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Göktyta</t>
        </is>
      </c>
      <c r="W31">
        <f>HYPERLINK("https://klasma.github.io/Logging_1764/artfynd/A 41878-2024 artfynd.xlsx", "A 41878-2024")</f>
        <v/>
      </c>
      <c r="X31">
        <f>HYPERLINK("https://klasma.github.io/Logging_1764/kartor/A 41878-2024 karta.png", "A 41878-2024")</f>
        <v/>
      </c>
      <c r="Y31">
        <f>HYPERLINK("https://klasma.github.io/Logging_1764/kartor_geotiff/A 41878-2024 georefererad karta.tif", "A 41878-2024")</f>
        <v/>
      </c>
      <c r="AA31">
        <f>HYPERLINK("https://klasma.github.io/Logging_1764/klagomål/A 41878-2024 FSC-klagomål.docx", "A 41878-2024")</f>
        <v/>
      </c>
      <c r="AB31">
        <f>HYPERLINK("https://klasma.github.io/Logging_1764/klagomålsmail/A 41878-2024 FSC-klagomål mail.docx", "A 41878-2024")</f>
        <v/>
      </c>
      <c r="AC31">
        <f>HYPERLINK("https://klasma.github.io/Logging_1764/tillsyn/A 41878-2024 tillsynsbegäran.docx", "A 41878-2024")</f>
        <v/>
      </c>
      <c r="AD31">
        <f>HYPERLINK("https://klasma.github.io/Logging_1764/tillsynsmail/A 41878-2024 tillsynsbegäran mail.docx", "A 41878-2024")</f>
        <v/>
      </c>
      <c r="AE31">
        <f>HYPERLINK("https://klasma.github.io/Logging_1764/fåglar/A 41878-2024 prioriterade fågelarter.docx", "A 41878-2024")</f>
        <v/>
      </c>
    </row>
    <row r="32" ht="15" customHeight="1">
      <c r="A32" t="inlineStr">
        <is>
          <t>A 35077-2024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45527</v>
      </c>
      <c r="E32" s="1" t="n">
        <v>46318</v>
      </c>
      <c r="F32" t="inlineStr">
        <is>
          <t>VÄRMLANDS LÄN</t>
        </is>
      </c>
      <c r="G32" t="inlineStr">
        <is>
          <t>GRUMS</t>
        </is>
      </c>
      <c r="I32" t="n">
        <v>2.1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Knärot</t>
        </is>
      </c>
      <c r="W32">
        <f>HYPERLINK("https://klasma.github.io/Logging_1764/artfynd/A 35077-2024 artfynd.xlsx", "A 35077-2024")</f>
        <v/>
      </c>
      <c r="X32">
        <f>HYPERLINK("https://klasma.github.io/Logging_1764/kartor/A 35077-2024 karta.png", "A 35077-2024")</f>
        <v/>
      </c>
      <c r="Y32">
        <f>HYPERLINK("https://klasma.github.io/Logging_1764/kartor_geotiff/A 35077-2024 georefererad karta.tif", "A 35077-2024")</f>
        <v/>
      </c>
      <c r="Z32">
        <f>HYPERLINK("https://klasma.github.io/Logging_1764/knärot/A 35077-2024 karta knärot.png", "A 35077-2024")</f>
        <v/>
      </c>
      <c r="AA32">
        <f>HYPERLINK("https://klasma.github.io/Logging_1764/klagomål/A 35077-2024 FSC-klagomål.docx", "A 35077-2024")</f>
        <v/>
      </c>
      <c r="AB32">
        <f>HYPERLINK("https://klasma.github.io/Logging_1764/klagomålsmail/A 35077-2024 FSC-klagomål mail.docx", "A 35077-2024")</f>
        <v/>
      </c>
      <c r="AC32">
        <f>HYPERLINK("https://klasma.github.io/Logging_1764/tillsyn/A 35077-2024 tillsynsbegäran.docx", "A 35077-2024")</f>
        <v/>
      </c>
      <c r="AD32">
        <f>HYPERLINK("https://klasma.github.io/Logging_1764/tillsynsmail/A 35077-2024 tillsynsbegäran mail.docx", "A 35077-2024")</f>
        <v/>
      </c>
    </row>
    <row r="33" ht="15" customHeight="1">
      <c r="A33" t="inlineStr">
        <is>
          <t>A 19524-2024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45429</v>
      </c>
      <c r="E33" s="1" t="n">
        <v>46318</v>
      </c>
      <c r="F33" t="inlineStr">
        <is>
          <t>VÄRMLANDS LÄN</t>
        </is>
      </c>
      <c r="G33" t="inlineStr">
        <is>
          <t>GRUMS</t>
        </is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Sädesärla</t>
        </is>
      </c>
      <c r="W33">
        <f>HYPERLINK("https://klasma.github.io/Logging_1764/artfynd/A 19524-2024 artfynd.xlsx", "A 19524-2024")</f>
        <v/>
      </c>
      <c r="X33">
        <f>HYPERLINK("https://klasma.github.io/Logging_1764/kartor/A 19524-2024 karta.png", "A 19524-2024")</f>
        <v/>
      </c>
      <c r="Y33">
        <f>HYPERLINK("https://klasma.github.io/Logging_1764/kartor_geotiff/A 19524-2024 georefererad karta.tif", "A 19524-2024")</f>
        <v/>
      </c>
      <c r="AA33">
        <f>HYPERLINK("https://klasma.github.io/Logging_1764/klagomål/A 19524-2024 FSC-klagomål.docx", "A 19524-2024")</f>
        <v/>
      </c>
      <c r="AB33">
        <f>HYPERLINK("https://klasma.github.io/Logging_1764/klagomålsmail/A 19524-2024 FSC-klagomål mail.docx", "A 19524-2024")</f>
        <v/>
      </c>
      <c r="AC33">
        <f>HYPERLINK("https://klasma.github.io/Logging_1764/tillsyn/A 19524-2024 tillsynsbegäran.docx", "A 19524-2024")</f>
        <v/>
      </c>
      <c r="AD33">
        <f>HYPERLINK("https://klasma.github.io/Logging_1764/tillsynsmail/A 19524-2024 tillsynsbegäran mail.docx", "A 19524-2024")</f>
        <v/>
      </c>
      <c r="AE33">
        <f>HYPERLINK("https://klasma.github.io/Logging_1764/fåglar/A 19524-2024 prioriterade fågelarter.docx", "A 19524-2024")</f>
        <v/>
      </c>
    </row>
    <row r="34" ht="15" customHeight="1">
      <c r="A34" t="inlineStr">
        <is>
          <t>A 15321-2023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45019</v>
      </c>
      <c r="E34" s="1" t="n">
        <v>46318</v>
      </c>
      <c r="F34" t="inlineStr">
        <is>
          <t>VÄRMLANDS LÄN</t>
        </is>
      </c>
      <c r="G34" t="inlineStr">
        <is>
          <t>GRUMS</t>
        </is>
      </c>
      <c r="I34" t="n">
        <v>5.2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0</v>
      </c>
      <c r="V34" s="2" t="inlineStr">
        <is>
          <t>Vätteros</t>
        </is>
      </c>
      <c r="W34">
        <f>HYPERLINK("https://klasma.github.io/Logging_1764/artfynd/A 15321-2023 artfynd.xlsx", "A 15321-2023")</f>
        <v/>
      </c>
      <c r="X34">
        <f>HYPERLINK("https://klasma.github.io/Logging_1764/kartor/A 15321-2023 karta.png", "A 15321-2023")</f>
        <v/>
      </c>
      <c r="Y34">
        <f>HYPERLINK("https://klasma.github.io/Logging_1764/kartor_geotiff/A 15321-2023 georefererad karta.tif", "A 15321-2023")</f>
        <v/>
      </c>
      <c r="AA34">
        <f>HYPERLINK("https://klasma.github.io/Logging_1764/klagomål/A 15321-2023 FSC-klagomål.docx", "A 15321-2023")</f>
        <v/>
      </c>
      <c r="AB34">
        <f>HYPERLINK("https://klasma.github.io/Logging_1764/klagomålsmail/A 15321-2023 FSC-klagomål mail.docx", "A 15321-2023")</f>
        <v/>
      </c>
      <c r="AC34">
        <f>HYPERLINK("https://klasma.github.io/Logging_1764/tillsyn/A 15321-2023 tillsynsbegäran.docx", "A 15321-2023")</f>
        <v/>
      </c>
      <c r="AD34">
        <f>HYPERLINK("https://klasma.github.io/Logging_1764/tillsynsmail/A 15321-2023 tillsynsbegäran mail.docx", "A 15321-2023")</f>
        <v/>
      </c>
    </row>
    <row r="35" ht="15" customHeight="1">
      <c r="A35" t="inlineStr">
        <is>
          <t>A 12296-2026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46087</v>
      </c>
      <c r="E35" s="1" t="n">
        <v>46318</v>
      </c>
      <c r="F35" t="inlineStr">
        <is>
          <t>VÄRMLANDS LÄN</t>
        </is>
      </c>
      <c r="G35" t="inlineStr">
        <is>
          <t>GRUMS</t>
        </is>
      </c>
      <c r="I35" t="n">
        <v>2.3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Skogsklocka</t>
        </is>
      </c>
      <c r="W35">
        <f>HYPERLINK("https://klasma.github.io/Logging_1764/artfynd/A 12296-2026 artfynd.xlsx", "A 12296-2026")</f>
        <v/>
      </c>
      <c r="X35">
        <f>HYPERLINK("https://klasma.github.io/Logging_1764/kartor/A 12296-2026 karta.png", "A 12296-2026")</f>
        <v/>
      </c>
      <c r="Y35">
        <f>HYPERLINK("https://klasma.github.io/Logging_1764/kartor_geotiff/A 12296-2026 georefererad karta.tif", "A 12296-2026")</f>
        <v/>
      </c>
      <c r="AA35">
        <f>HYPERLINK("https://klasma.github.io/Logging_1764/klagomål/A 12296-2026 FSC-klagomål.docx", "A 12296-2026")</f>
        <v/>
      </c>
      <c r="AB35">
        <f>HYPERLINK("https://klasma.github.io/Logging_1764/klagomålsmail/A 12296-2026 FSC-klagomål mail.docx", "A 12296-2026")</f>
        <v/>
      </c>
      <c r="AC35">
        <f>HYPERLINK("https://klasma.github.io/Logging_1764/tillsyn/A 12296-2026 tillsynsbegäran.docx", "A 12296-2026")</f>
        <v/>
      </c>
      <c r="AD35">
        <f>HYPERLINK("https://klasma.github.io/Logging_1764/tillsynsmail/A 12296-2026 tillsynsbegäran mail.docx", "A 12296-2026")</f>
        <v/>
      </c>
    </row>
    <row r="36" ht="15" customHeight="1">
      <c r="A36" t="inlineStr">
        <is>
          <t>A 10647-2024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45368</v>
      </c>
      <c r="E36" s="1" t="n">
        <v>46318</v>
      </c>
      <c r="F36" t="inlineStr">
        <is>
          <t>VÄRMLANDS LÄN</t>
        </is>
      </c>
      <c r="G36" t="inlineStr">
        <is>
          <t>GRUMS</t>
        </is>
      </c>
      <c r="I36" t="n">
        <v>4.1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Kråka</t>
        </is>
      </c>
      <c r="W36">
        <f>HYPERLINK("https://klasma.github.io/Logging_1764/artfynd/A 10647-2024 artfynd.xlsx", "A 10647-2024")</f>
        <v/>
      </c>
      <c r="X36">
        <f>HYPERLINK("https://klasma.github.io/Logging_1764/kartor/A 10647-2024 karta.png", "A 10647-2024")</f>
        <v/>
      </c>
      <c r="Y36">
        <f>HYPERLINK("https://klasma.github.io/Logging_1764/kartor_geotiff/A 10647-2024 georefererad karta.tif", "A 10647-2024")</f>
        <v/>
      </c>
      <c r="AA36">
        <f>HYPERLINK("https://klasma.github.io/Logging_1764/klagomål/A 10647-2024 FSC-klagomål.docx", "A 10647-2024")</f>
        <v/>
      </c>
      <c r="AB36">
        <f>HYPERLINK("https://klasma.github.io/Logging_1764/klagomålsmail/A 10647-2024 FSC-klagomål mail.docx", "A 10647-2024")</f>
        <v/>
      </c>
      <c r="AC36">
        <f>HYPERLINK("https://klasma.github.io/Logging_1764/tillsyn/A 10647-2024 tillsynsbegäran.docx", "A 10647-2024")</f>
        <v/>
      </c>
      <c r="AD36">
        <f>HYPERLINK("https://klasma.github.io/Logging_1764/tillsynsmail/A 10647-2024 tillsynsbegäran mail.docx", "A 10647-2024")</f>
        <v/>
      </c>
    </row>
    <row r="37" ht="15" customHeight="1">
      <c r="A37" t="inlineStr">
        <is>
          <t>A 34076-2026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46252</v>
      </c>
      <c r="E37" s="1" t="n">
        <v>46318</v>
      </c>
      <c r="F37" t="inlineStr">
        <is>
          <t>VÄRMLANDS LÄN</t>
        </is>
      </c>
      <c r="G37" t="inlineStr">
        <is>
          <t>GRUMS</t>
        </is>
      </c>
      <c r="I37" t="n">
        <v>4.9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2</v>
      </c>
      <c r="U37" t="n">
        <v>0</v>
      </c>
      <c r="V37" s="2" t="inlineStr">
        <is>
          <t>Skogsklocka</t>
        </is>
      </c>
      <c r="W37">
        <f>HYPERLINK("https://klasma.github.io/Logging_1764/artfynd/A 34076-2026 artfynd.xlsx", "A 34076-2026")</f>
        <v/>
      </c>
      <c r="X37">
        <f>HYPERLINK("https://klasma.github.io/Logging_1764/kartor/A 34076-2026 karta.png", "A 34076-2026")</f>
        <v/>
      </c>
      <c r="Y37">
        <f>HYPERLINK("https://klasma.github.io/Logging_1764/kartor_geotiff/A 34076-2026 georefererad karta.tif", "A 34076-2026")</f>
        <v/>
      </c>
      <c r="AA37">
        <f>HYPERLINK("https://klasma.github.io/Logging_1764/klagomål/A 34076-2026 FSC-klagomål.docx", "A 34076-2026")</f>
        <v/>
      </c>
      <c r="AB37">
        <f>HYPERLINK("https://klasma.github.io/Logging_1764/klagomålsmail/A 34076-2026 FSC-klagomål mail.docx", "A 34076-2026")</f>
        <v/>
      </c>
      <c r="AC37">
        <f>HYPERLINK("https://klasma.github.io/Logging_1764/tillsyn/A 34076-2026 tillsynsbegäran.docx", "A 34076-2026")</f>
        <v/>
      </c>
      <c r="AD37">
        <f>HYPERLINK("https://klasma.github.io/Logging_1764/tillsynsmail/A 34076-2026 tillsynsbegäran mail.docx", "A 34076-2026")</f>
        <v/>
      </c>
    </row>
    <row r="38" ht="15" customHeight="1">
      <c r="A38" t="inlineStr">
        <is>
          <t>A 62675-2023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45271</v>
      </c>
      <c r="E38" s="1" t="n">
        <v>46318</v>
      </c>
      <c r="F38" t="inlineStr">
        <is>
          <t>VÄRMLANDS LÄN</t>
        </is>
      </c>
      <c r="G38" t="inlineStr">
        <is>
          <t>GRUMS</t>
        </is>
      </c>
      <c r="I38" t="n">
        <v>3.4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Svart trolldruva</t>
        </is>
      </c>
      <c r="W38">
        <f>HYPERLINK("https://klasma.github.io/Logging_1764/artfynd/A 62675-2023 artfynd.xlsx", "A 62675-2023")</f>
        <v/>
      </c>
      <c r="X38">
        <f>HYPERLINK("https://klasma.github.io/Logging_1764/kartor/A 62675-2023 karta.png", "A 62675-2023")</f>
        <v/>
      </c>
      <c r="Y38">
        <f>HYPERLINK("https://klasma.github.io/Logging_1764/kartor_geotiff/A 62675-2023 georefererad karta.tif", "A 62675-2023")</f>
        <v/>
      </c>
      <c r="AA38">
        <f>HYPERLINK("https://klasma.github.io/Logging_1764/klagomål/A 62675-2023 FSC-klagomål.docx", "A 62675-2023")</f>
        <v/>
      </c>
      <c r="AB38">
        <f>HYPERLINK("https://klasma.github.io/Logging_1764/klagomålsmail/A 62675-2023 FSC-klagomål mail.docx", "A 62675-2023")</f>
        <v/>
      </c>
      <c r="AC38">
        <f>HYPERLINK("https://klasma.github.io/Logging_1764/tillsyn/A 62675-2023 tillsynsbegäran.docx", "A 62675-2023")</f>
        <v/>
      </c>
      <c r="AD38">
        <f>HYPERLINK("https://klasma.github.io/Logging_1764/tillsynsmail/A 62675-2023 tillsynsbegäran mail.docx", "A 62675-2023")</f>
        <v/>
      </c>
    </row>
    <row r="39" ht="15" customHeight="1">
      <c r="A39" t="inlineStr">
        <is>
          <t>A 19052-2024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45427</v>
      </c>
      <c r="E39" s="1" t="n">
        <v>46318</v>
      </c>
      <c r="F39" t="inlineStr">
        <is>
          <t>VÄRMLANDS LÄN</t>
        </is>
      </c>
      <c r="G39" t="inlineStr">
        <is>
          <t>GRUMS</t>
        </is>
      </c>
      <c r="I39" t="n">
        <v>7.7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s="2" t="inlineStr">
        <is>
          <t>Skogsalm</t>
        </is>
      </c>
      <c r="W39">
        <f>HYPERLINK("https://klasma.github.io/Logging_1764/artfynd/A 19052-2024 artfynd.xlsx", "A 19052-2024")</f>
        <v/>
      </c>
      <c r="X39">
        <f>HYPERLINK("https://klasma.github.io/Logging_1764/kartor/A 19052-2024 karta.png", "A 19052-2024")</f>
        <v/>
      </c>
      <c r="Y39">
        <f>HYPERLINK("https://klasma.github.io/Logging_1764/kartor_geotiff/A 19052-2024 georefererad karta.tif", "A 19052-2024")</f>
        <v/>
      </c>
      <c r="AA39">
        <f>HYPERLINK("https://klasma.github.io/Logging_1764/klagomål/A 19052-2024 FSC-klagomål.docx", "A 19052-2024")</f>
        <v/>
      </c>
      <c r="AB39">
        <f>HYPERLINK("https://klasma.github.io/Logging_1764/klagomålsmail/A 19052-2024 FSC-klagomål mail.docx", "A 19052-2024")</f>
        <v/>
      </c>
      <c r="AC39">
        <f>HYPERLINK("https://klasma.github.io/Logging_1764/tillsyn/A 19052-2024 tillsynsbegäran.docx", "A 19052-2024")</f>
        <v/>
      </c>
      <c r="AD39">
        <f>HYPERLINK("https://klasma.github.io/Logging_1764/tillsynsmail/A 19052-2024 tillsynsbegäran mail.docx", "A 19052-2024")</f>
        <v/>
      </c>
    </row>
    <row r="40" ht="15" customHeight="1">
      <c r="A40" t="inlineStr">
        <is>
          <t>A 7589-2022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44607</v>
      </c>
      <c r="E40" s="1" t="n">
        <v>46318</v>
      </c>
      <c r="F40" t="inlineStr">
        <is>
          <t>VÄRMLANDS LÄN</t>
        </is>
      </c>
      <c r="G40" t="inlineStr">
        <is>
          <t>GRUMS</t>
        </is>
      </c>
      <c r="I40" t="n">
        <v>4.9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32304-2022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44781</v>
      </c>
      <c r="E41" s="1" t="n">
        <v>46318</v>
      </c>
      <c r="F41" t="inlineStr">
        <is>
          <t>VÄRMLANDS LÄN</t>
        </is>
      </c>
      <c r="G41" t="inlineStr">
        <is>
          <t>GRUMS</t>
        </is>
      </c>
      <c r="I41" t="n">
        <v>2.4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1898-2022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44575</v>
      </c>
      <c r="E42" s="1" t="n">
        <v>46318</v>
      </c>
      <c r="F42" t="inlineStr">
        <is>
          <t>VÄRMLANDS LÄN</t>
        </is>
      </c>
      <c r="G42" t="inlineStr">
        <is>
          <t>GRUMS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63963-2021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44509</v>
      </c>
      <c r="E43" s="1" t="n">
        <v>46318</v>
      </c>
      <c r="F43" t="inlineStr">
        <is>
          <t>VÄRMLANDS LÄN</t>
        </is>
      </c>
      <c r="G43" t="inlineStr">
        <is>
          <t>GRUMS</t>
        </is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34652-2022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44795</v>
      </c>
      <c r="E44" s="1" t="n">
        <v>46318</v>
      </c>
      <c r="F44" t="inlineStr">
        <is>
          <t>VÄRMLANDS LÄN</t>
        </is>
      </c>
      <c r="G44" t="inlineStr">
        <is>
          <t>GRUMS</t>
        </is>
      </c>
      <c r="I44" t="n">
        <v>1.2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32443-2022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44782</v>
      </c>
      <c r="E45" s="1" t="n">
        <v>46318</v>
      </c>
      <c r="F45" t="inlineStr">
        <is>
          <t>VÄRMLANDS LÄN</t>
        </is>
      </c>
      <c r="G45" t="inlineStr">
        <is>
          <t>GRUMS</t>
        </is>
      </c>
      <c r="I45" t="n">
        <v>1.9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49116-2022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44860</v>
      </c>
      <c r="E46" s="1" t="n">
        <v>46318</v>
      </c>
      <c r="F46" t="inlineStr">
        <is>
          <t>VÄRMLANDS LÄN</t>
        </is>
      </c>
      <c r="G46" t="inlineStr">
        <is>
          <t>GRUMS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59863-2021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44494</v>
      </c>
      <c r="E47" s="1" t="n">
        <v>46318</v>
      </c>
      <c r="F47" t="inlineStr">
        <is>
          <t>VÄRMLANDS LÄN</t>
        </is>
      </c>
      <c r="G47" t="inlineStr">
        <is>
          <t>GRUMS</t>
        </is>
      </c>
      <c r="I47" t="n">
        <v>2.6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45384-2022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44844</v>
      </c>
      <c r="E48" s="1" t="n">
        <v>46318</v>
      </c>
      <c r="F48" t="inlineStr">
        <is>
          <t>VÄRMLANDS LÄN</t>
        </is>
      </c>
      <c r="G48" t="inlineStr">
        <is>
          <t>GRUMS</t>
        </is>
      </c>
      <c r="I48" t="n">
        <v>0.6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43806-2022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44838</v>
      </c>
      <c r="E49" s="1" t="n">
        <v>46318</v>
      </c>
      <c r="F49" t="inlineStr">
        <is>
          <t>VÄRMLANDS LÄN</t>
        </is>
      </c>
      <c r="G49" t="inlineStr">
        <is>
          <t>GRUMS</t>
        </is>
      </c>
      <c r="I49" t="n">
        <v>2.9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18791-2022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44690</v>
      </c>
      <c r="E50" s="1" t="n">
        <v>46318</v>
      </c>
      <c r="F50" t="inlineStr">
        <is>
          <t>VÄRMLANDS LÄN</t>
        </is>
      </c>
      <c r="G50" t="inlineStr">
        <is>
          <t>GRUMS</t>
        </is>
      </c>
      <c r="H50" t="inlineStr">
        <is>
          <t>Bergvik skog väst AB</t>
        </is>
      </c>
      <c r="I50" t="n">
        <v>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25970-2022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44734</v>
      </c>
      <c r="E51" s="1" t="n">
        <v>46318</v>
      </c>
      <c r="F51" t="inlineStr">
        <is>
          <t>VÄRMLANDS LÄN</t>
        </is>
      </c>
      <c r="G51" t="inlineStr">
        <is>
          <t>GRUMS</t>
        </is>
      </c>
      <c r="I51" t="n">
        <v>2.1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19669-2022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44694</v>
      </c>
      <c r="E52" s="1" t="n">
        <v>46318</v>
      </c>
      <c r="F52" t="inlineStr">
        <is>
          <t>VÄRMLANDS LÄN</t>
        </is>
      </c>
      <c r="G52" t="inlineStr">
        <is>
          <t>GRUMS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27729-2022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44743</v>
      </c>
      <c r="E53" s="1" t="n">
        <v>46318</v>
      </c>
      <c r="F53" t="inlineStr">
        <is>
          <t>VÄRMLANDS LÄN</t>
        </is>
      </c>
      <c r="G53" t="inlineStr">
        <is>
          <t>GRUMS</t>
        </is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63964-2021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44509</v>
      </c>
      <c r="E54" s="1" t="n">
        <v>46318</v>
      </c>
      <c r="F54" t="inlineStr">
        <is>
          <t>VÄRMLANDS LÄN</t>
        </is>
      </c>
      <c r="G54" t="inlineStr">
        <is>
          <t>GRUMS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61306-2021</t>
        </is>
      </c>
      <c r="B55" t="inlineStr">
        <is>
          <t>avverkningsanmälan</t>
        </is>
      </c>
      <c r="C55" t="inlineStr">
        <is>
          <t>Avverkning för annat ändamål</t>
        </is>
      </c>
      <c r="D55" s="1" t="n">
        <v>44498</v>
      </c>
      <c r="E55" s="1" t="n">
        <v>46318</v>
      </c>
      <c r="F55" t="inlineStr">
        <is>
          <t>VÄRMLANDS LÄN</t>
        </is>
      </c>
      <c r="G55" t="inlineStr">
        <is>
          <t>GRUMS</t>
        </is>
      </c>
      <c r="I55" t="n">
        <v>1.1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35391-2022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44798</v>
      </c>
      <c r="E56" s="1" t="n">
        <v>46318</v>
      </c>
      <c r="F56" t="inlineStr">
        <is>
          <t>VÄRMLANDS LÄN</t>
        </is>
      </c>
      <c r="G56" t="inlineStr">
        <is>
          <t>GRUMS</t>
        </is>
      </c>
      <c r="H56" t="inlineStr">
        <is>
          <t>Bergvik skog väst AB</t>
        </is>
      </c>
      <c r="I56" t="n">
        <v>2.3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30539-2022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44762</v>
      </c>
      <c r="E57" s="1" t="n">
        <v>46318</v>
      </c>
      <c r="F57" t="inlineStr">
        <is>
          <t>VÄRMLANDS LÄN</t>
        </is>
      </c>
      <c r="G57" t="inlineStr">
        <is>
          <t>GRUMS</t>
        </is>
      </c>
      <c r="I57" t="n">
        <v>10.2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9799-2022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44620</v>
      </c>
      <c r="E58" s="1" t="n">
        <v>46318</v>
      </c>
      <c r="F58" t="inlineStr">
        <is>
          <t>VÄRMLANDS LÄN</t>
        </is>
      </c>
      <c r="G58" t="inlineStr">
        <is>
          <t>GRUMS</t>
        </is>
      </c>
      <c r="I58" t="n">
        <v>1.6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10894-2022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44627</v>
      </c>
      <c r="E59" s="1" t="n">
        <v>46318</v>
      </c>
      <c r="F59" t="inlineStr">
        <is>
          <t>VÄRMLANDS LÄN</t>
        </is>
      </c>
      <c r="G59" t="inlineStr">
        <is>
          <t>GRUMS</t>
        </is>
      </c>
      <c r="I59" t="n">
        <v>1.9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25694-2022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44732</v>
      </c>
      <c r="E60" s="1" t="n">
        <v>46318</v>
      </c>
      <c r="F60" t="inlineStr">
        <is>
          <t>VÄRMLANDS LÄN</t>
        </is>
      </c>
      <c r="G60" t="inlineStr">
        <is>
          <t>GRUMS</t>
        </is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2089-2022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44577</v>
      </c>
      <c r="E61" s="1" t="n">
        <v>46318</v>
      </c>
      <c r="F61" t="inlineStr">
        <is>
          <t>VÄRMLANDS LÄN</t>
        </is>
      </c>
      <c r="G61" t="inlineStr">
        <is>
          <t>GRUMS</t>
        </is>
      </c>
      <c r="I61" t="n">
        <v>1.4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54444-2022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44882</v>
      </c>
      <c r="E62" s="1" t="n">
        <v>46318</v>
      </c>
      <c r="F62" t="inlineStr">
        <is>
          <t>VÄRMLANDS LÄN</t>
        </is>
      </c>
      <c r="G62" t="inlineStr">
        <is>
          <t>GRUMS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57236-2023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45245</v>
      </c>
      <c r="E63" s="1" t="n">
        <v>46318</v>
      </c>
      <c r="F63" t="inlineStr">
        <is>
          <t>VÄRMLANDS LÄN</t>
        </is>
      </c>
      <c r="G63" t="inlineStr">
        <is>
          <t>GRUMS</t>
        </is>
      </c>
      <c r="I63" t="n">
        <v>1.9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57237-2023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45245</v>
      </c>
      <c r="E64" s="1" t="n">
        <v>46318</v>
      </c>
      <c r="F64" t="inlineStr">
        <is>
          <t>VÄRMLANDS LÄN</t>
        </is>
      </c>
      <c r="G64" t="inlineStr">
        <is>
          <t>GRUMS</t>
        </is>
      </c>
      <c r="I64" t="n">
        <v>18.2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37045-2022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44806</v>
      </c>
      <c r="E65" s="1" t="n">
        <v>46318</v>
      </c>
      <c r="F65" t="inlineStr">
        <is>
          <t>VÄRMLANDS LÄN</t>
        </is>
      </c>
      <c r="G65" t="inlineStr">
        <is>
          <t>GRUMS</t>
        </is>
      </c>
      <c r="I65" t="n">
        <v>2.9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59746-2021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44494</v>
      </c>
      <c r="E66" s="1" t="n">
        <v>46318</v>
      </c>
      <c r="F66" t="inlineStr">
        <is>
          <t>VÄRMLANDS LÄN</t>
        </is>
      </c>
      <c r="G66" t="inlineStr">
        <is>
          <t>GRUMS</t>
        </is>
      </c>
      <c r="I66" t="n">
        <v>1.6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26362-2022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44735</v>
      </c>
      <c r="E67" s="1" t="n">
        <v>46318</v>
      </c>
      <c r="F67" t="inlineStr">
        <is>
          <t>VÄRMLANDS LÄN</t>
        </is>
      </c>
      <c r="G67" t="inlineStr">
        <is>
          <t>GRUMS</t>
        </is>
      </c>
      <c r="I67" t="n">
        <v>0.8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5810-2023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44963</v>
      </c>
      <c r="E68" s="1" t="n">
        <v>46318</v>
      </c>
      <c r="F68" t="inlineStr">
        <is>
          <t>VÄRMLANDS LÄN</t>
        </is>
      </c>
      <c r="G68" t="inlineStr">
        <is>
          <t>GRUMS</t>
        </is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29699-2022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44755</v>
      </c>
      <c r="E69" s="1" t="n">
        <v>46318</v>
      </c>
      <c r="F69" t="inlineStr">
        <is>
          <t>VÄRMLANDS LÄN</t>
        </is>
      </c>
      <c r="G69" t="inlineStr">
        <is>
          <t>GRUMS</t>
        </is>
      </c>
      <c r="I69" t="n">
        <v>3.7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30334-2022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44760</v>
      </c>
      <c r="E70" s="1" t="n">
        <v>46318</v>
      </c>
      <c r="F70" t="inlineStr">
        <is>
          <t>VÄRMLANDS LÄN</t>
        </is>
      </c>
      <c r="G70" t="inlineStr">
        <is>
          <t>GRUMS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47152-2023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45201</v>
      </c>
      <c r="E71" s="1" t="n">
        <v>46318</v>
      </c>
      <c r="F71" t="inlineStr">
        <is>
          <t>VÄRMLANDS LÄN</t>
        </is>
      </c>
      <c r="G71" t="inlineStr">
        <is>
          <t>GRUMS</t>
        </is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73306-2021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44547</v>
      </c>
      <c r="E72" s="1" t="n">
        <v>46318</v>
      </c>
      <c r="F72" t="inlineStr">
        <is>
          <t>VÄRMLANDS LÄN</t>
        </is>
      </c>
      <c r="G72" t="inlineStr">
        <is>
          <t>GRUMS</t>
        </is>
      </c>
      <c r="I72" t="n">
        <v>0.9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13289-2025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45735</v>
      </c>
      <c r="E73" s="1" t="n">
        <v>46318</v>
      </c>
      <c r="F73" t="inlineStr">
        <is>
          <t>VÄRMLANDS LÄN</t>
        </is>
      </c>
      <c r="G73" t="inlineStr">
        <is>
          <t>GRUMS</t>
        </is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5841-2022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44596</v>
      </c>
      <c r="E74" s="1" t="n">
        <v>46318</v>
      </c>
      <c r="F74" t="inlineStr">
        <is>
          <t>VÄRMLANDS LÄN</t>
        </is>
      </c>
      <c r="G74" t="inlineStr">
        <is>
          <t>GRUMS</t>
        </is>
      </c>
      <c r="I74" t="n">
        <v>1.6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5126-2023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44958</v>
      </c>
      <c r="E75" s="1" t="n">
        <v>46318</v>
      </c>
      <c r="F75" t="inlineStr">
        <is>
          <t>VÄRMLANDS LÄN</t>
        </is>
      </c>
      <c r="G75" t="inlineStr">
        <is>
          <t>GRUMS</t>
        </is>
      </c>
      <c r="I75" t="n">
        <v>14.3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5025-2023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44958</v>
      </c>
      <c r="E76" s="1" t="n">
        <v>46318</v>
      </c>
      <c r="F76" t="inlineStr">
        <is>
          <t>VÄRMLANDS LÄN</t>
        </is>
      </c>
      <c r="G76" t="inlineStr">
        <is>
          <t>GRUMS</t>
        </is>
      </c>
      <c r="I76" t="n">
        <v>0.9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73901-2021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44552</v>
      </c>
      <c r="E77" s="1" t="n">
        <v>46318</v>
      </c>
      <c r="F77" t="inlineStr">
        <is>
          <t>VÄRMLANDS LÄN</t>
        </is>
      </c>
      <c r="G77" t="inlineStr">
        <is>
          <t>GRUMS</t>
        </is>
      </c>
      <c r="I77" t="n">
        <v>1.9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28228-2024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45477</v>
      </c>
      <c r="E78" s="1" t="n">
        <v>46318</v>
      </c>
      <c r="F78" t="inlineStr">
        <is>
          <t>VÄRMLANDS LÄN</t>
        </is>
      </c>
      <c r="G78" t="inlineStr">
        <is>
          <t>GRUMS</t>
        </is>
      </c>
      <c r="I78" t="n">
        <v>0.7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17437-2025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45757</v>
      </c>
      <c r="E79" s="1" t="n">
        <v>46318</v>
      </c>
      <c r="F79" t="inlineStr">
        <is>
          <t>VÄRMLANDS LÄN</t>
        </is>
      </c>
      <c r="G79" t="inlineStr">
        <is>
          <t>GRUMS</t>
        </is>
      </c>
      <c r="I79" t="n">
        <v>1.3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17443-2025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45757</v>
      </c>
      <c r="E80" s="1" t="n">
        <v>46318</v>
      </c>
      <c r="F80" t="inlineStr">
        <is>
          <t>VÄRMLANDS LÄN</t>
        </is>
      </c>
      <c r="G80" t="inlineStr">
        <is>
          <t>GRUMS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37486-2022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44809</v>
      </c>
      <c r="E81" s="1" t="n">
        <v>46318</v>
      </c>
      <c r="F81" t="inlineStr">
        <is>
          <t>VÄRMLANDS LÄN</t>
        </is>
      </c>
      <c r="G81" t="inlineStr">
        <is>
          <t>GRUMS</t>
        </is>
      </c>
      <c r="I81" t="n">
        <v>8.6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27218-2023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45096</v>
      </c>
      <c r="E82" s="1" t="n">
        <v>46318</v>
      </c>
      <c r="F82" t="inlineStr">
        <is>
          <t>VÄRMLANDS LÄN</t>
        </is>
      </c>
      <c r="G82" t="inlineStr">
        <is>
          <t>GRUMS</t>
        </is>
      </c>
      <c r="I82" t="n">
        <v>1.2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73033-2021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44550</v>
      </c>
      <c r="E83" s="1" t="n">
        <v>46318</v>
      </c>
      <c r="F83" t="inlineStr">
        <is>
          <t>VÄRMLANDS LÄN</t>
        </is>
      </c>
      <c r="G83" t="inlineStr">
        <is>
          <t>GRUMS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46299-2022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44847</v>
      </c>
      <c r="E84" s="1" t="n">
        <v>46318</v>
      </c>
      <c r="F84" t="inlineStr">
        <is>
          <t>VÄRMLANDS LÄN</t>
        </is>
      </c>
      <c r="G84" t="inlineStr">
        <is>
          <t>GRUMS</t>
        </is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13382-2024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45387</v>
      </c>
      <c r="E85" s="1" t="n">
        <v>46318</v>
      </c>
      <c r="F85" t="inlineStr">
        <is>
          <t>VÄRMLANDS LÄN</t>
        </is>
      </c>
      <c r="G85" t="inlineStr">
        <is>
          <t>GRUMS</t>
        </is>
      </c>
      <c r="I85" t="n">
        <v>1.1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36420-2023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45152</v>
      </c>
      <c r="E86" s="1" t="n">
        <v>46318</v>
      </c>
      <c r="F86" t="inlineStr">
        <is>
          <t>VÄRMLANDS LÄN</t>
        </is>
      </c>
      <c r="G86" t="inlineStr">
        <is>
          <t>GRUMS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5236-2023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44956</v>
      </c>
      <c r="E87" s="1" t="n">
        <v>46318</v>
      </c>
      <c r="F87" t="inlineStr">
        <is>
          <t>VÄRMLANDS LÄN</t>
        </is>
      </c>
      <c r="G87" t="inlineStr">
        <is>
          <t>GRUMS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56220-2023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45240</v>
      </c>
      <c r="E88" s="1" t="n">
        <v>46318</v>
      </c>
      <c r="F88" t="inlineStr">
        <is>
          <t>VÄRMLANDS LÄN</t>
        </is>
      </c>
      <c r="G88" t="inlineStr">
        <is>
          <t>GRUMS</t>
        </is>
      </c>
      <c r="I88" t="n">
        <v>0.7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26840-2023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45093</v>
      </c>
      <c r="E89" s="1" t="n">
        <v>46318</v>
      </c>
      <c r="F89" t="inlineStr">
        <is>
          <t>VÄRMLANDS LÄN</t>
        </is>
      </c>
      <c r="G89" t="inlineStr">
        <is>
          <t>GRUMS</t>
        </is>
      </c>
      <c r="I89" t="n">
        <v>1.1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18341-2025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45762</v>
      </c>
      <c r="E90" s="1" t="n">
        <v>46318</v>
      </c>
      <c r="F90" t="inlineStr">
        <is>
          <t>VÄRMLANDS LÄN</t>
        </is>
      </c>
      <c r="G90" t="inlineStr">
        <is>
          <t>GRUMS</t>
        </is>
      </c>
      <c r="I90" t="n">
        <v>3.1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972-2025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45665</v>
      </c>
      <c r="E91" s="1" t="n">
        <v>46318</v>
      </c>
      <c r="F91" t="inlineStr">
        <is>
          <t>VÄRMLANDS LÄN</t>
        </is>
      </c>
      <c r="G91" t="inlineStr">
        <is>
          <t>GRUMS</t>
        </is>
      </c>
      <c r="I91" t="n">
        <v>1.1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17399-2025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45757</v>
      </c>
      <c r="E92" s="1" t="n">
        <v>46318</v>
      </c>
      <c r="F92" t="inlineStr">
        <is>
          <t>VÄRMLANDS LÄN</t>
        </is>
      </c>
      <c r="G92" t="inlineStr">
        <is>
          <t>GRUMS</t>
        </is>
      </c>
      <c r="I92" t="n">
        <v>1.4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58514-2022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44902</v>
      </c>
      <c r="E93" s="1" t="n">
        <v>46318</v>
      </c>
      <c r="F93" t="inlineStr">
        <is>
          <t>VÄRMLANDS LÄN</t>
        </is>
      </c>
      <c r="G93" t="inlineStr">
        <is>
          <t>GRUMS</t>
        </is>
      </c>
      <c r="I93" t="n">
        <v>3.1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13895-2024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45391</v>
      </c>
      <c r="E94" s="1" t="n">
        <v>46318</v>
      </c>
      <c r="F94" t="inlineStr">
        <is>
          <t>VÄRMLANDS LÄN</t>
        </is>
      </c>
      <c r="G94" t="inlineStr">
        <is>
          <t>GRUMS</t>
        </is>
      </c>
      <c r="H94" t="inlineStr">
        <is>
          <t>Bergvik skog väst AB</t>
        </is>
      </c>
      <c r="I94" t="n">
        <v>3.9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29724-2023</t>
        </is>
      </c>
      <c r="B95" t="inlineStr">
        <is>
          <t>avverkningsanmälan</t>
        </is>
      </c>
      <c r="C95" t="inlineStr">
        <is>
          <t>Avverkning för annat ändamål</t>
        </is>
      </c>
      <c r="D95" s="1" t="n">
        <v>45107</v>
      </c>
      <c r="E95" s="1" t="n">
        <v>46318</v>
      </c>
      <c r="F95" t="inlineStr">
        <is>
          <t>VÄRMLANDS LÄN</t>
        </is>
      </c>
      <c r="G95" t="inlineStr">
        <is>
          <t>GRUMS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29260-2025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45824</v>
      </c>
      <c r="E96" s="1" t="n">
        <v>46318</v>
      </c>
      <c r="F96" t="inlineStr">
        <is>
          <t>VÄRMLANDS LÄN</t>
        </is>
      </c>
      <c r="G96" t="inlineStr">
        <is>
          <t>GRUMS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30563-2025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45831</v>
      </c>
      <c r="E97" s="1" t="n">
        <v>46318</v>
      </c>
      <c r="F97" t="inlineStr">
        <is>
          <t>VÄRMLANDS LÄN</t>
        </is>
      </c>
      <c r="G97" t="inlineStr">
        <is>
          <t>GRUMS</t>
        </is>
      </c>
      <c r="I97" t="n">
        <v>1.6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31974-2023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45107</v>
      </c>
      <c r="E98" s="1" t="n">
        <v>46318</v>
      </c>
      <c r="F98" t="inlineStr">
        <is>
          <t>VÄRMLANDS LÄN</t>
        </is>
      </c>
      <c r="G98" t="inlineStr">
        <is>
          <t>GRUMS</t>
        </is>
      </c>
      <c r="I98" t="n">
        <v>3.8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19802-2024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45432</v>
      </c>
      <c r="E99" s="1" t="n">
        <v>46318</v>
      </c>
      <c r="F99" t="inlineStr">
        <is>
          <t>VÄRMLANDS LÄN</t>
        </is>
      </c>
      <c r="G99" t="inlineStr">
        <is>
          <t>GRUMS</t>
        </is>
      </c>
      <c r="H99" t="inlineStr">
        <is>
          <t>Bergvik skog väst AB</t>
        </is>
      </c>
      <c r="I99" t="n">
        <v>2.5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16635-2024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45408</v>
      </c>
      <c r="E100" s="1" t="n">
        <v>46318</v>
      </c>
      <c r="F100" t="inlineStr">
        <is>
          <t>VÄRMLANDS LÄN</t>
        </is>
      </c>
      <c r="G100" t="inlineStr">
        <is>
          <t>GRUMS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32327-2025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45836</v>
      </c>
      <c r="E101" s="1" t="n">
        <v>46318</v>
      </c>
      <c r="F101" t="inlineStr">
        <is>
          <t>VÄRMLANDS LÄN</t>
        </is>
      </c>
      <c r="G101" t="inlineStr">
        <is>
          <t>GRUMS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37119-2024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45539</v>
      </c>
      <c r="E102" s="1" t="n">
        <v>46318</v>
      </c>
      <c r="F102" t="inlineStr">
        <is>
          <t>VÄRMLANDS LÄN</t>
        </is>
      </c>
      <c r="G102" t="inlineStr">
        <is>
          <t>GRUMS</t>
        </is>
      </c>
      <c r="I102" t="n">
        <v>6.7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8359-2025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45708</v>
      </c>
      <c r="E103" s="1" t="n">
        <v>46318</v>
      </c>
      <c r="F103" t="inlineStr">
        <is>
          <t>VÄRMLANDS LÄN</t>
        </is>
      </c>
      <c r="G103" t="inlineStr">
        <is>
          <t>GRUMS</t>
        </is>
      </c>
      <c r="I103" t="n">
        <v>4.3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7922-2022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44608</v>
      </c>
      <c r="E104" s="1" t="n">
        <v>46318</v>
      </c>
      <c r="F104" t="inlineStr">
        <is>
          <t>VÄRMLANDS LÄN</t>
        </is>
      </c>
      <c r="G104" t="inlineStr">
        <is>
          <t>GRUMS</t>
        </is>
      </c>
      <c r="I104" t="n">
        <v>1.2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1556-2025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45670</v>
      </c>
      <c r="E105" s="1" t="n">
        <v>46318</v>
      </c>
      <c r="F105" t="inlineStr">
        <is>
          <t>VÄRMLANDS LÄN</t>
        </is>
      </c>
      <c r="G105" t="inlineStr">
        <is>
          <t>GRUMS</t>
        </is>
      </c>
      <c r="I105" t="n">
        <v>1.8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35425-2025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45855</v>
      </c>
      <c r="E106" s="1" t="n">
        <v>46318</v>
      </c>
      <c r="F106" t="inlineStr">
        <is>
          <t>VÄRMLANDS LÄN</t>
        </is>
      </c>
      <c r="G106" t="inlineStr">
        <is>
          <t>GRUMS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12311-2024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45378</v>
      </c>
      <c r="E107" s="1" t="n">
        <v>46318</v>
      </c>
      <c r="F107" t="inlineStr">
        <is>
          <t>VÄRMLANDS LÄN</t>
        </is>
      </c>
      <c r="G107" t="inlineStr">
        <is>
          <t>GRUMS</t>
        </is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33948-2023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45124</v>
      </c>
      <c r="E108" s="1" t="n">
        <v>46318</v>
      </c>
      <c r="F108" t="inlineStr">
        <is>
          <t>VÄRMLANDS LÄN</t>
        </is>
      </c>
      <c r="G108" t="inlineStr">
        <is>
          <t>GRUMS</t>
        </is>
      </c>
      <c r="I108" t="n">
        <v>5.5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44497-2025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45916</v>
      </c>
      <c r="E109" s="1" t="n">
        <v>46318</v>
      </c>
      <c r="F109" t="inlineStr">
        <is>
          <t>VÄRMLANDS LÄN</t>
        </is>
      </c>
      <c r="G109" t="inlineStr">
        <is>
          <t>GRUMS</t>
        </is>
      </c>
      <c r="I109" t="n">
        <v>3.1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13320-2024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45386</v>
      </c>
      <c r="E110" s="1" t="n">
        <v>46318</v>
      </c>
      <c r="F110" t="inlineStr">
        <is>
          <t>VÄRMLANDS LÄN</t>
        </is>
      </c>
      <c r="G110" t="inlineStr">
        <is>
          <t>GRUMS</t>
        </is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55227-2023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45231</v>
      </c>
      <c r="E111" s="1" t="n">
        <v>46318</v>
      </c>
      <c r="F111" t="inlineStr">
        <is>
          <t>VÄRMLANDS LÄN</t>
        </is>
      </c>
      <c r="G111" t="inlineStr">
        <is>
          <t>GRUMS</t>
        </is>
      </c>
      <c r="I111" t="n">
        <v>2.4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25014-2024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45461</v>
      </c>
      <c r="E112" s="1" t="n">
        <v>46318</v>
      </c>
      <c r="F112" t="inlineStr">
        <is>
          <t>VÄRMLANDS LÄN</t>
        </is>
      </c>
      <c r="G112" t="inlineStr">
        <is>
          <t>GRUMS</t>
        </is>
      </c>
      <c r="I112" t="n">
        <v>12.8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31964-2023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45107</v>
      </c>
      <c r="E113" s="1" t="n">
        <v>46318</v>
      </c>
      <c r="F113" t="inlineStr">
        <is>
          <t>VÄRMLANDS LÄN</t>
        </is>
      </c>
      <c r="G113" t="inlineStr">
        <is>
          <t>GRUMS</t>
        </is>
      </c>
      <c r="I113" t="n">
        <v>2.3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37515-2025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45877</v>
      </c>
      <c r="E114" s="1" t="n">
        <v>46318</v>
      </c>
      <c r="F114" t="inlineStr">
        <is>
          <t>VÄRMLANDS LÄN</t>
        </is>
      </c>
      <c r="G114" t="inlineStr">
        <is>
          <t>GRUMS</t>
        </is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37495-2025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45877</v>
      </c>
      <c r="E115" s="1" t="n">
        <v>46318</v>
      </c>
      <c r="F115" t="inlineStr">
        <is>
          <t>VÄRMLANDS LÄN</t>
        </is>
      </c>
      <c r="G115" t="inlineStr">
        <is>
          <t>GRUMS</t>
        </is>
      </c>
      <c r="I115" t="n">
        <v>1.9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37517-2025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45877</v>
      </c>
      <c r="E116" s="1" t="n">
        <v>46318</v>
      </c>
      <c r="F116" t="inlineStr">
        <is>
          <t>VÄRMLANDS LÄN</t>
        </is>
      </c>
      <c r="G116" t="inlineStr">
        <is>
          <t>GRUMS</t>
        </is>
      </c>
      <c r="I116" t="n">
        <v>2.9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12082-2024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45377</v>
      </c>
      <c r="E117" s="1" t="n">
        <v>46318</v>
      </c>
      <c r="F117" t="inlineStr">
        <is>
          <t>VÄRMLANDS LÄN</t>
        </is>
      </c>
      <c r="G117" t="inlineStr">
        <is>
          <t>GRUMS</t>
        </is>
      </c>
      <c r="I117" t="n">
        <v>1.2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12084-2024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45377</v>
      </c>
      <c r="E118" s="1" t="n">
        <v>46318</v>
      </c>
      <c r="F118" t="inlineStr">
        <is>
          <t>VÄRMLANDS LÄN</t>
        </is>
      </c>
      <c r="G118" t="inlineStr">
        <is>
          <t>GRUMS</t>
        </is>
      </c>
      <c r="I118" t="n">
        <v>1.1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4976-2024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45329</v>
      </c>
      <c r="E119" s="1" t="n">
        <v>46318</v>
      </c>
      <c r="F119" t="inlineStr">
        <is>
          <t>VÄRMLANDS LÄN</t>
        </is>
      </c>
      <c r="G119" t="inlineStr">
        <is>
          <t>GRUMS</t>
        </is>
      </c>
      <c r="I119" t="n">
        <v>5.1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64304-2023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45280</v>
      </c>
      <c r="E120" s="1" t="n">
        <v>46318</v>
      </c>
      <c r="F120" t="inlineStr">
        <is>
          <t>VÄRMLANDS LÄN</t>
        </is>
      </c>
      <c r="G120" t="inlineStr">
        <is>
          <t>GRUMS</t>
        </is>
      </c>
      <c r="I120" t="n">
        <v>1.2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48553-2023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45208</v>
      </c>
      <c r="E121" s="1" t="n">
        <v>46318</v>
      </c>
      <c r="F121" t="inlineStr">
        <is>
          <t>VÄRMLANDS LÄN</t>
        </is>
      </c>
      <c r="G121" t="inlineStr">
        <is>
          <t>GRUMS</t>
        </is>
      </c>
      <c r="I121" t="n">
        <v>1.7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26815-2023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45093</v>
      </c>
      <c r="E122" s="1" t="n">
        <v>46318</v>
      </c>
      <c r="F122" t="inlineStr">
        <is>
          <t>VÄRMLANDS LÄN</t>
        </is>
      </c>
      <c r="G122" t="inlineStr">
        <is>
          <t>GRUMS</t>
        </is>
      </c>
      <c r="I122" t="n">
        <v>1.1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17910-2024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45419</v>
      </c>
      <c r="E123" s="1" t="n">
        <v>46318</v>
      </c>
      <c r="F123" t="inlineStr">
        <is>
          <t>VÄRMLANDS LÄN</t>
        </is>
      </c>
      <c r="G123" t="inlineStr">
        <is>
          <t>GRUMS</t>
        </is>
      </c>
      <c r="I123" t="n">
        <v>6.8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16772-2024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45411</v>
      </c>
      <c r="E124" s="1" t="n">
        <v>46318</v>
      </c>
      <c r="F124" t="inlineStr">
        <is>
          <t>VÄRMLANDS LÄN</t>
        </is>
      </c>
      <c r="G124" t="inlineStr">
        <is>
          <t>GRUMS</t>
        </is>
      </c>
      <c r="I124" t="n">
        <v>0.7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25443-2023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45089</v>
      </c>
      <c r="E125" s="1" t="n">
        <v>46318</v>
      </c>
      <c r="F125" t="inlineStr">
        <is>
          <t>VÄRMLANDS LÄN</t>
        </is>
      </c>
      <c r="G125" t="inlineStr">
        <is>
          <t>GRUMS</t>
        </is>
      </c>
      <c r="I125" t="n">
        <v>3.8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2253-2024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45310</v>
      </c>
      <c r="E126" s="1" t="n">
        <v>46318</v>
      </c>
      <c r="F126" t="inlineStr">
        <is>
          <t>VÄRMLANDS LÄN</t>
        </is>
      </c>
      <c r="G126" t="inlineStr">
        <is>
          <t>GRUMS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47507-2025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45930</v>
      </c>
      <c r="E127" s="1" t="n">
        <v>46318</v>
      </c>
      <c r="F127" t="inlineStr">
        <is>
          <t>VÄRMLANDS LÄN</t>
        </is>
      </c>
      <c r="G127" t="inlineStr">
        <is>
          <t>GRUMS</t>
        </is>
      </c>
      <c r="I127" t="n">
        <v>2.9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59617-2025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45992</v>
      </c>
      <c r="E128" s="1" t="n">
        <v>46318</v>
      </c>
      <c r="F128" t="inlineStr">
        <is>
          <t>VÄRMLANDS LÄN</t>
        </is>
      </c>
      <c r="G128" t="inlineStr">
        <is>
          <t>GRUMS</t>
        </is>
      </c>
      <c r="I128" t="n">
        <v>1.3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66056-2021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44517</v>
      </c>
      <c r="E129" s="1" t="n">
        <v>46318</v>
      </c>
      <c r="F129" t="inlineStr">
        <is>
          <t>VÄRMLANDS LÄN</t>
        </is>
      </c>
      <c r="G129" t="inlineStr">
        <is>
          <t>GRUMS</t>
        </is>
      </c>
      <c r="I129" t="n">
        <v>0.7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29256-2025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45824</v>
      </c>
      <c r="E130" s="1" t="n">
        <v>46318</v>
      </c>
      <c r="F130" t="inlineStr">
        <is>
          <t>VÄRMLANDS LÄN</t>
        </is>
      </c>
      <c r="G130" t="inlineStr">
        <is>
          <t>GRUMS</t>
        </is>
      </c>
      <c r="I130" t="n">
        <v>0.8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23189-2024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45450</v>
      </c>
      <c r="E131" s="1" t="n">
        <v>46318</v>
      </c>
      <c r="F131" t="inlineStr">
        <is>
          <t>VÄRMLANDS LÄN</t>
        </is>
      </c>
      <c r="G131" t="inlineStr">
        <is>
          <t>GRUMS</t>
        </is>
      </c>
      <c r="H131" t="inlineStr">
        <is>
          <t>Bergvik skog väst AB</t>
        </is>
      </c>
      <c r="I131" t="n">
        <v>1.9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7991-2024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45350</v>
      </c>
      <c r="E132" s="1" t="n">
        <v>46318</v>
      </c>
      <c r="F132" t="inlineStr">
        <is>
          <t>VÄRMLANDS LÄN</t>
        </is>
      </c>
      <c r="G132" t="inlineStr">
        <is>
          <t>GRUMS</t>
        </is>
      </c>
      <c r="I132" t="n">
        <v>1.1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614-2026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46024</v>
      </c>
      <c r="E133" s="1" t="n">
        <v>46318</v>
      </c>
      <c r="F133" t="inlineStr">
        <is>
          <t>VÄRMLANDS LÄN</t>
        </is>
      </c>
      <c r="G133" t="inlineStr">
        <is>
          <t>GRUMS</t>
        </is>
      </c>
      <c r="I133" t="n">
        <v>5.3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6721-2025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45700</v>
      </c>
      <c r="E134" s="1" t="n">
        <v>46318</v>
      </c>
      <c r="F134" t="inlineStr">
        <is>
          <t>VÄRMLANDS LÄN</t>
        </is>
      </c>
      <c r="G134" t="inlineStr">
        <is>
          <t>GRUMS</t>
        </is>
      </c>
      <c r="H134" t="inlineStr">
        <is>
          <t>Bergvik skog väst AB</t>
        </is>
      </c>
      <c r="I134" t="n">
        <v>5.7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49507-2025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45939</v>
      </c>
      <c r="E135" s="1" t="n">
        <v>46318</v>
      </c>
      <c r="F135" t="inlineStr">
        <is>
          <t>VÄRMLANDS LÄN</t>
        </is>
      </c>
      <c r="G135" t="inlineStr">
        <is>
          <t>GRUMS</t>
        </is>
      </c>
      <c r="I135" t="n">
        <v>5.7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42143-2025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45904</v>
      </c>
      <c r="E136" s="1" t="n">
        <v>46318</v>
      </c>
      <c r="F136" t="inlineStr">
        <is>
          <t>VÄRMLANDS LÄN</t>
        </is>
      </c>
      <c r="G136" t="inlineStr">
        <is>
          <t>GRUMS</t>
        </is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49300-2022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44861</v>
      </c>
      <c r="E137" s="1" t="n">
        <v>46318</v>
      </c>
      <c r="F137" t="inlineStr">
        <is>
          <t>VÄRMLANDS LÄN</t>
        </is>
      </c>
      <c r="G137" t="inlineStr">
        <is>
          <t>GRUMS</t>
        </is>
      </c>
      <c r="I137" t="n">
        <v>2.2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59542-2022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44907</v>
      </c>
      <c r="E138" s="1" t="n">
        <v>46318</v>
      </c>
      <c r="F138" t="inlineStr">
        <is>
          <t>VÄRMLANDS LÄN</t>
        </is>
      </c>
      <c r="G138" t="inlineStr">
        <is>
          <t>GRUMS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20784-2025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45776</v>
      </c>
      <c r="E139" s="1" t="n">
        <v>46318</v>
      </c>
      <c r="F139" t="inlineStr">
        <is>
          <t>VÄRMLANDS LÄN</t>
        </is>
      </c>
      <c r="G139" t="inlineStr">
        <is>
          <t>GRUMS</t>
        </is>
      </c>
      <c r="I139" t="n">
        <v>9.5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40524-2025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45896</v>
      </c>
      <c r="E140" s="1" t="n">
        <v>46318</v>
      </c>
      <c r="F140" t="inlineStr">
        <is>
          <t>VÄRMLANDS LÄN</t>
        </is>
      </c>
      <c r="G140" t="inlineStr">
        <is>
          <t>GRUMS</t>
        </is>
      </c>
      <c r="I140" t="n">
        <v>1.4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21248-2022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44705</v>
      </c>
      <c r="E141" s="1" t="n">
        <v>46318</v>
      </c>
      <c r="F141" t="inlineStr">
        <is>
          <t>VÄRMLANDS LÄN</t>
        </is>
      </c>
      <c r="G141" t="inlineStr">
        <is>
          <t>GRUMS</t>
        </is>
      </c>
      <c r="I141" t="n">
        <v>12.4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40522-2025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45896</v>
      </c>
      <c r="E142" s="1" t="n">
        <v>46318</v>
      </c>
      <c r="F142" t="inlineStr">
        <is>
          <t>VÄRMLANDS LÄN</t>
        </is>
      </c>
      <c r="G142" t="inlineStr">
        <is>
          <t>GRUMS</t>
        </is>
      </c>
      <c r="I142" t="n">
        <v>0.9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52699-2025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45956</v>
      </c>
      <c r="E143" s="1" t="n">
        <v>46318</v>
      </c>
      <c r="F143" t="inlineStr">
        <is>
          <t>VÄRMLANDS LÄN</t>
        </is>
      </c>
      <c r="G143" t="inlineStr">
        <is>
          <t>GRUMS</t>
        </is>
      </c>
      <c r="I143" t="n">
        <v>3.9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8361-2025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45708</v>
      </c>
      <c r="E144" s="1" t="n">
        <v>46318</v>
      </c>
      <c r="F144" t="inlineStr">
        <is>
          <t>VÄRMLANDS LÄN</t>
        </is>
      </c>
      <c r="G144" t="inlineStr">
        <is>
          <t>GRUMS</t>
        </is>
      </c>
      <c r="I144" t="n">
        <v>2.3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52700-2025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45956</v>
      </c>
      <c r="E145" s="1" t="n">
        <v>46318</v>
      </c>
      <c r="F145" t="inlineStr">
        <is>
          <t>VÄRMLANDS LÄN</t>
        </is>
      </c>
      <c r="G145" t="inlineStr">
        <is>
          <t>GRUMS</t>
        </is>
      </c>
      <c r="I145" t="n">
        <v>1.2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5957-2024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45336</v>
      </c>
      <c r="E146" s="1" t="n">
        <v>46318</v>
      </c>
      <c r="F146" t="inlineStr">
        <is>
          <t>VÄRMLANDS LÄN</t>
        </is>
      </c>
      <c r="G146" t="inlineStr">
        <is>
          <t>GRUMS</t>
        </is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5214-2025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45691</v>
      </c>
      <c r="E147" s="1" t="n">
        <v>46318</v>
      </c>
      <c r="F147" t="inlineStr">
        <is>
          <t>VÄRMLANDS LÄN</t>
        </is>
      </c>
      <c r="G147" t="inlineStr">
        <is>
          <t>GRUMS</t>
        </is>
      </c>
      <c r="I147" t="n">
        <v>2.5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73310-2021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44547</v>
      </c>
      <c r="E148" s="1" t="n">
        <v>46318</v>
      </c>
      <c r="F148" t="inlineStr">
        <is>
          <t>VÄRMLANDS LÄN</t>
        </is>
      </c>
      <c r="G148" t="inlineStr">
        <is>
          <t>GRUMS</t>
        </is>
      </c>
      <c r="I148" t="n">
        <v>6.2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31561-2023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45117</v>
      </c>
      <c r="E149" s="1" t="n">
        <v>46318</v>
      </c>
      <c r="F149" t="inlineStr">
        <is>
          <t>VÄRMLANDS LÄN</t>
        </is>
      </c>
      <c r="G149" t="inlineStr">
        <is>
          <t>GRUMS</t>
        </is>
      </c>
      <c r="I149" t="n">
        <v>1.2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71781-2021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44539</v>
      </c>
      <c r="E150" s="1" t="n">
        <v>46318</v>
      </c>
      <c r="F150" t="inlineStr">
        <is>
          <t>VÄRMLANDS LÄN</t>
        </is>
      </c>
      <c r="G150" t="inlineStr">
        <is>
          <t>GRUMS</t>
        </is>
      </c>
      <c r="H150" t="inlineStr">
        <is>
          <t>Bergvik skog väst AB</t>
        </is>
      </c>
      <c r="I150" t="n">
        <v>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8362-2025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45708</v>
      </c>
      <c r="E151" s="1" t="n">
        <v>46318</v>
      </c>
      <c r="F151" t="inlineStr">
        <is>
          <t>VÄRMLANDS LÄN</t>
        </is>
      </c>
      <c r="G151" t="inlineStr">
        <is>
          <t>GRUMS</t>
        </is>
      </c>
      <c r="I151" t="n">
        <v>7.7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30527-2022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44762</v>
      </c>
      <c r="E152" s="1" t="n">
        <v>46318</v>
      </c>
      <c r="F152" t="inlineStr">
        <is>
          <t>VÄRMLANDS LÄN</t>
        </is>
      </c>
      <c r="G152" t="inlineStr">
        <is>
          <t>GRUMS</t>
        </is>
      </c>
      <c r="I152" t="n">
        <v>3.1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17573-2025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45757</v>
      </c>
      <c r="E153" s="1" t="n">
        <v>46318</v>
      </c>
      <c r="F153" t="inlineStr">
        <is>
          <t>VÄRMLANDS LÄN</t>
        </is>
      </c>
      <c r="G153" t="inlineStr">
        <is>
          <t>GRUMS</t>
        </is>
      </c>
      <c r="I153" t="n">
        <v>0.7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58751-2025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45986</v>
      </c>
      <c r="E154" s="1" t="n">
        <v>46318</v>
      </c>
      <c r="F154" t="inlineStr">
        <is>
          <t>VÄRMLANDS LÄN</t>
        </is>
      </c>
      <c r="G154" t="inlineStr">
        <is>
          <t>GRUMS</t>
        </is>
      </c>
      <c r="I154" t="n">
        <v>0.6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58747-2025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45986</v>
      </c>
      <c r="E155" s="1" t="n">
        <v>46318</v>
      </c>
      <c r="F155" t="inlineStr">
        <is>
          <t>VÄRMLANDS LÄN</t>
        </is>
      </c>
      <c r="G155" t="inlineStr">
        <is>
          <t>GRUMS</t>
        </is>
      </c>
      <c r="I155" t="n">
        <v>1.5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9837-2023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44984</v>
      </c>
      <c r="E156" s="1" t="n">
        <v>46318</v>
      </c>
      <c r="F156" t="inlineStr">
        <is>
          <t>VÄRMLANDS LÄN</t>
        </is>
      </c>
      <c r="G156" t="inlineStr">
        <is>
          <t>GRUMS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19753-2024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45432</v>
      </c>
      <c r="E157" s="1" t="n">
        <v>46318</v>
      </c>
      <c r="F157" t="inlineStr">
        <is>
          <t>VÄRMLANDS LÄN</t>
        </is>
      </c>
      <c r="G157" t="inlineStr">
        <is>
          <t>GRUMS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27443-2024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45474</v>
      </c>
      <c r="E158" s="1" t="n">
        <v>46318</v>
      </c>
      <c r="F158" t="inlineStr">
        <is>
          <t>VÄRMLANDS LÄN</t>
        </is>
      </c>
      <c r="G158" t="inlineStr">
        <is>
          <t>GRUMS</t>
        </is>
      </c>
      <c r="I158" t="n">
        <v>1.8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22406-2026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46154</v>
      </c>
      <c r="E159" s="1" t="n">
        <v>46318</v>
      </c>
      <c r="F159" t="inlineStr">
        <is>
          <t>VÄRMLANDS LÄN</t>
        </is>
      </c>
      <c r="G159" t="inlineStr">
        <is>
          <t>GRUMS</t>
        </is>
      </c>
      <c r="I159" t="n">
        <v>5.2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32959-2022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44784</v>
      </c>
      <c r="E160" s="1" t="n">
        <v>46318</v>
      </c>
      <c r="F160" t="inlineStr">
        <is>
          <t>VÄRMLANDS LÄN</t>
        </is>
      </c>
      <c r="G160" t="inlineStr">
        <is>
          <t>GRUMS</t>
        </is>
      </c>
      <c r="I160" t="n">
        <v>3.5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60656-2025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45996</v>
      </c>
      <c r="E161" s="1" t="n">
        <v>46318</v>
      </c>
      <c r="F161" t="inlineStr">
        <is>
          <t>VÄRMLANDS LÄN</t>
        </is>
      </c>
      <c r="G161" t="inlineStr">
        <is>
          <t>GRUMS</t>
        </is>
      </c>
      <c r="I161" t="n">
        <v>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30914-2023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45113</v>
      </c>
      <c r="E162" s="1" t="n">
        <v>46318</v>
      </c>
      <c r="F162" t="inlineStr">
        <is>
          <t>VÄRMLANDS LÄN</t>
        </is>
      </c>
      <c r="G162" t="inlineStr">
        <is>
          <t>GRUMS</t>
        </is>
      </c>
      <c r="I162" t="n">
        <v>2.1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20369-2024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45435</v>
      </c>
      <c r="E163" s="1" t="n">
        <v>46318</v>
      </c>
      <c r="F163" t="inlineStr">
        <is>
          <t>VÄRMLANDS LÄN</t>
        </is>
      </c>
      <c r="G163" t="inlineStr">
        <is>
          <t>GRUMS</t>
        </is>
      </c>
      <c r="I163" t="n">
        <v>1.4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7272-2022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44606</v>
      </c>
      <c r="E164" s="1" t="n">
        <v>46318</v>
      </c>
      <c r="F164" t="inlineStr">
        <is>
          <t>VÄRMLANDS LÄN</t>
        </is>
      </c>
      <c r="G164" t="inlineStr">
        <is>
          <t>GRUMS</t>
        </is>
      </c>
      <c r="I164" t="n">
        <v>1.4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26829-2023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45093</v>
      </c>
      <c r="E165" s="1" t="n">
        <v>46318</v>
      </c>
      <c r="F165" t="inlineStr">
        <is>
          <t>VÄRMLANDS LÄN</t>
        </is>
      </c>
      <c r="G165" t="inlineStr">
        <is>
          <t>GRUMS</t>
        </is>
      </c>
      <c r="I165" t="n">
        <v>1.5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71903-2021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44543</v>
      </c>
      <c r="E166" s="1" t="n">
        <v>46318</v>
      </c>
      <c r="F166" t="inlineStr">
        <is>
          <t>VÄRMLANDS LÄN</t>
        </is>
      </c>
      <c r="G166" t="inlineStr">
        <is>
          <t>GRUMS</t>
        </is>
      </c>
      <c r="I166" t="n">
        <v>6.3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3779-2025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45681</v>
      </c>
      <c r="E167" s="1" t="n">
        <v>46318</v>
      </c>
      <c r="F167" t="inlineStr">
        <is>
          <t>VÄRMLANDS LÄN</t>
        </is>
      </c>
      <c r="G167" t="inlineStr">
        <is>
          <t>GRUMS</t>
        </is>
      </c>
      <c r="H167" t="inlineStr">
        <is>
          <t>BillerudKorsnäs AB</t>
        </is>
      </c>
      <c r="I167" t="n">
        <v>7.6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38517-2024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45546</v>
      </c>
      <c r="E168" s="1" t="n">
        <v>46318</v>
      </c>
      <c r="F168" t="inlineStr">
        <is>
          <t>VÄRMLANDS LÄN</t>
        </is>
      </c>
      <c r="G168" t="inlineStr">
        <is>
          <t>GRUMS</t>
        </is>
      </c>
      <c r="I168" t="n">
        <v>1.3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39334-2025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45889</v>
      </c>
      <c r="E169" s="1" t="n">
        <v>46318</v>
      </c>
      <c r="F169" t="inlineStr">
        <is>
          <t>VÄRMLANDS LÄN</t>
        </is>
      </c>
      <c r="G169" t="inlineStr">
        <is>
          <t>GRUMS</t>
        </is>
      </c>
      <c r="I169" t="n">
        <v>1.3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59391-2025</t>
        </is>
      </c>
      <c r="B170" t="inlineStr">
        <is>
          <t>avverkningsanmälan</t>
        </is>
      </c>
      <c r="C170" t="inlineStr">
        <is>
          <t>Avverkning för annat ändamål</t>
        </is>
      </c>
      <c r="D170" s="1" t="n">
        <v>45989</v>
      </c>
      <c r="E170" s="1" t="n">
        <v>46318</v>
      </c>
      <c r="F170" t="inlineStr">
        <is>
          <t>VÄRMLANDS LÄN</t>
        </is>
      </c>
      <c r="G170" t="inlineStr">
        <is>
          <t>GRUMS</t>
        </is>
      </c>
      <c r="I170" t="n">
        <v>4.4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23733-2026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46164</v>
      </c>
      <c r="E171" s="1" t="n">
        <v>46318</v>
      </c>
      <c r="F171" t="inlineStr">
        <is>
          <t>VÄRMLANDS LÄN</t>
        </is>
      </c>
      <c r="G171" t="inlineStr">
        <is>
          <t>GRUMS</t>
        </is>
      </c>
      <c r="H171" t="inlineStr">
        <is>
          <t>Kommuner</t>
        </is>
      </c>
      <c r="I171" t="n">
        <v>0.9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23945-2026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46167</v>
      </c>
      <c r="E172" s="1" t="n">
        <v>46318</v>
      </c>
      <c r="F172" t="inlineStr">
        <is>
          <t>VÄRMLANDS LÄN</t>
        </is>
      </c>
      <c r="G172" t="inlineStr">
        <is>
          <t>GRUMS</t>
        </is>
      </c>
      <c r="H172" t="inlineStr">
        <is>
          <t>Kommuner</t>
        </is>
      </c>
      <c r="I172" t="n">
        <v>1.3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23757-2026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46164</v>
      </c>
      <c r="E173" s="1" t="n">
        <v>46318</v>
      </c>
      <c r="F173" t="inlineStr">
        <is>
          <t>VÄRMLANDS LÄN</t>
        </is>
      </c>
      <c r="G173" t="inlineStr">
        <is>
          <t>GRUMS</t>
        </is>
      </c>
      <c r="I173" t="n">
        <v>1.5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23702-2026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46164</v>
      </c>
      <c r="E174" s="1" t="n">
        <v>46318</v>
      </c>
      <c r="F174" t="inlineStr">
        <is>
          <t>VÄRMLANDS LÄN</t>
        </is>
      </c>
      <c r="G174" t="inlineStr">
        <is>
          <t>GRUMS</t>
        </is>
      </c>
      <c r="H174" t="inlineStr">
        <is>
          <t>Kommuner</t>
        </is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63919-2021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44509</v>
      </c>
      <c r="E175" s="1" t="n">
        <v>46318</v>
      </c>
      <c r="F175" t="inlineStr">
        <is>
          <t>VÄRMLANDS LÄN</t>
        </is>
      </c>
      <c r="G175" t="inlineStr">
        <is>
          <t>GRUMS</t>
        </is>
      </c>
      <c r="I175" t="n">
        <v>5.2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4870-2024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45329</v>
      </c>
      <c r="E176" s="1" t="n">
        <v>46318</v>
      </c>
      <c r="F176" t="inlineStr">
        <is>
          <t>VÄRMLANDS LÄN</t>
        </is>
      </c>
      <c r="G176" t="inlineStr">
        <is>
          <t>GRUMS</t>
        </is>
      </c>
      <c r="I176" t="n">
        <v>8.4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36646-2023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45153</v>
      </c>
      <c r="E177" s="1" t="n">
        <v>46318</v>
      </c>
      <c r="F177" t="inlineStr">
        <is>
          <t>VÄRMLANDS LÄN</t>
        </is>
      </c>
      <c r="G177" t="inlineStr">
        <is>
          <t>GRUMS</t>
        </is>
      </c>
      <c r="I177" t="n">
        <v>2.4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20238-2024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45434</v>
      </c>
      <c r="E178" s="1" t="n">
        <v>46318</v>
      </c>
      <c r="F178" t="inlineStr">
        <is>
          <t>VÄRMLANDS LÄN</t>
        </is>
      </c>
      <c r="G178" t="inlineStr">
        <is>
          <t>GRUMS</t>
        </is>
      </c>
      <c r="I178" t="n">
        <v>1.3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22822-2024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45448</v>
      </c>
      <c r="E179" s="1" t="n">
        <v>46318</v>
      </c>
      <c r="F179" t="inlineStr">
        <is>
          <t>VÄRMLANDS LÄN</t>
        </is>
      </c>
      <c r="G179" t="inlineStr">
        <is>
          <t>GRUMS</t>
        </is>
      </c>
      <c r="I179" t="n">
        <v>1.3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19053-2024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45427</v>
      </c>
      <c r="E180" s="1" t="n">
        <v>46318</v>
      </c>
      <c r="F180" t="inlineStr">
        <is>
          <t>VÄRMLANDS LÄN</t>
        </is>
      </c>
      <c r="G180" t="inlineStr">
        <is>
          <t>GRUMS</t>
        </is>
      </c>
      <c r="I180" t="n">
        <v>3.7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24754-2026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46171</v>
      </c>
      <c r="E181" s="1" t="n">
        <v>46318</v>
      </c>
      <c r="F181" t="inlineStr">
        <is>
          <t>VÄRMLANDS LÄN</t>
        </is>
      </c>
      <c r="G181" t="inlineStr">
        <is>
          <t>GRUMS</t>
        </is>
      </c>
      <c r="I181" t="n">
        <v>2.9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11601-2025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45727</v>
      </c>
      <c r="E182" s="1" t="n">
        <v>46318</v>
      </c>
      <c r="F182" t="inlineStr">
        <is>
          <t>VÄRMLANDS LÄN</t>
        </is>
      </c>
      <c r="G182" t="inlineStr">
        <is>
          <t>GRUMS</t>
        </is>
      </c>
      <c r="I182" t="n">
        <v>1.8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12175-2024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45377</v>
      </c>
      <c r="E183" s="1" t="n">
        <v>46318</v>
      </c>
      <c r="F183" t="inlineStr">
        <is>
          <t>VÄRMLANDS LÄN</t>
        </is>
      </c>
      <c r="G183" t="inlineStr">
        <is>
          <t>GRUMS</t>
        </is>
      </c>
      <c r="I183" t="n">
        <v>5.6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3054-2026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46039</v>
      </c>
      <c r="E184" s="1" t="n">
        <v>46318</v>
      </c>
      <c r="F184" t="inlineStr">
        <is>
          <t>VÄRMLANDS LÄN</t>
        </is>
      </c>
      <c r="G184" t="inlineStr">
        <is>
          <t>GRUMS</t>
        </is>
      </c>
      <c r="I184" t="n">
        <v>2.3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29577-2024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45484</v>
      </c>
      <c r="E185" s="1" t="n">
        <v>46318</v>
      </c>
      <c r="F185" t="inlineStr">
        <is>
          <t>VÄRMLANDS LÄN</t>
        </is>
      </c>
      <c r="G185" t="inlineStr">
        <is>
          <t>GRUMS</t>
        </is>
      </c>
      <c r="H185" t="inlineStr">
        <is>
          <t>Bergvik skog väst AB</t>
        </is>
      </c>
      <c r="I185" t="n">
        <v>10.1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8370-2023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44977</v>
      </c>
      <c r="E186" s="1" t="n">
        <v>46318</v>
      </c>
      <c r="F186" t="inlineStr">
        <is>
          <t>VÄRMLANDS LÄN</t>
        </is>
      </c>
      <c r="G186" t="inlineStr">
        <is>
          <t>GRUMS</t>
        </is>
      </c>
      <c r="I186" t="n">
        <v>0.9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12217-2025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45729</v>
      </c>
      <c r="E187" s="1" t="n">
        <v>46318</v>
      </c>
      <c r="F187" t="inlineStr">
        <is>
          <t>VÄRMLANDS LÄN</t>
        </is>
      </c>
      <c r="G187" t="inlineStr">
        <is>
          <t>GRUMS</t>
        </is>
      </c>
      <c r="I187" t="n">
        <v>4.6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56219-2023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45240</v>
      </c>
      <c r="E188" s="1" t="n">
        <v>46318</v>
      </c>
      <c r="F188" t="inlineStr">
        <is>
          <t>VÄRMLANDS LÄN</t>
        </is>
      </c>
      <c r="G188" t="inlineStr">
        <is>
          <t>GRUMS</t>
        </is>
      </c>
      <c r="I188" t="n">
        <v>1.1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680-2024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45300</v>
      </c>
      <c r="E189" s="1" t="n">
        <v>46318</v>
      </c>
      <c r="F189" t="inlineStr">
        <is>
          <t>VÄRMLANDS LÄN</t>
        </is>
      </c>
      <c r="G189" t="inlineStr">
        <is>
          <t>GRUMS</t>
        </is>
      </c>
      <c r="I189" t="n">
        <v>0.8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30339-2022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44760</v>
      </c>
      <c r="E190" s="1" t="n">
        <v>46318</v>
      </c>
      <c r="F190" t="inlineStr">
        <is>
          <t>VÄRMLANDS LÄN</t>
        </is>
      </c>
      <c r="G190" t="inlineStr">
        <is>
          <t>GRUMS</t>
        </is>
      </c>
      <c r="I190" t="n">
        <v>5.3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26015-2026</t>
        </is>
      </c>
      <c r="B191" t="inlineStr">
        <is>
          <t>avverkningsanmälan</t>
        </is>
      </c>
      <c r="C191" t="inlineStr">
        <is>
          <t>Avverkning för annat ändamål</t>
        </is>
      </c>
      <c r="D191" s="1" t="n">
        <v>46181</v>
      </c>
      <c r="E191" s="1" t="n">
        <v>46318</v>
      </c>
      <c r="F191" t="inlineStr">
        <is>
          <t>VÄRMLANDS LÄN</t>
        </is>
      </c>
      <c r="G191" t="inlineStr">
        <is>
          <t>GRUMS</t>
        </is>
      </c>
      <c r="H191" t="inlineStr">
        <is>
          <t>Kommuner</t>
        </is>
      </c>
      <c r="I191" t="n">
        <v>0.7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22133-2025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45785</v>
      </c>
      <c r="E192" s="1" t="n">
        <v>46318</v>
      </c>
      <c r="F192" t="inlineStr">
        <is>
          <t>VÄRMLANDS LÄN</t>
        </is>
      </c>
      <c r="G192" t="inlineStr">
        <is>
          <t>GRUMS</t>
        </is>
      </c>
      <c r="I192" t="n">
        <v>4.7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22537-2025</t>
        </is>
      </c>
      <c r="B193" t="inlineStr">
        <is>
          <t>avverkningsanmälan</t>
        </is>
      </c>
      <c r="C193" t="inlineStr">
        <is>
          <t>Avverkning för annat ändamål</t>
        </is>
      </c>
      <c r="D193" s="1" t="n">
        <v>45787</v>
      </c>
      <c r="E193" s="1" t="n">
        <v>46318</v>
      </c>
      <c r="F193" t="inlineStr">
        <is>
          <t>VÄRMLANDS LÄN</t>
        </is>
      </c>
      <c r="G193" t="inlineStr">
        <is>
          <t>GRUMS</t>
        </is>
      </c>
      <c r="I193" t="n">
        <v>0.8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8732-2026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46066</v>
      </c>
      <c r="E194" s="1" t="n">
        <v>46318</v>
      </c>
      <c r="F194" t="inlineStr">
        <is>
          <t>VÄRMLANDS LÄN</t>
        </is>
      </c>
      <c r="G194" t="inlineStr">
        <is>
          <t>GRUMS</t>
        </is>
      </c>
      <c r="I194" t="n">
        <v>6.1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975-2025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45665</v>
      </c>
      <c r="E195" s="1" t="n">
        <v>46318</v>
      </c>
      <c r="F195" t="inlineStr">
        <is>
          <t>VÄRMLANDS LÄN</t>
        </is>
      </c>
      <c r="G195" t="inlineStr">
        <is>
          <t>GRUMS</t>
        </is>
      </c>
      <c r="I195" t="n">
        <v>2.4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62557-2022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44924</v>
      </c>
      <c r="E196" s="1" t="n">
        <v>46318</v>
      </c>
      <c r="F196" t="inlineStr">
        <is>
          <t>VÄRMLANDS LÄN</t>
        </is>
      </c>
      <c r="G196" t="inlineStr">
        <is>
          <t>GRUMS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12283-2026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46087</v>
      </c>
      <c r="E197" s="1" t="n">
        <v>46318</v>
      </c>
      <c r="F197" t="inlineStr">
        <is>
          <t>VÄRMLANDS LÄN</t>
        </is>
      </c>
      <c r="G197" t="inlineStr">
        <is>
          <t>GRUMS</t>
        </is>
      </c>
      <c r="I197" t="n">
        <v>1.9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28513-2026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46197</v>
      </c>
      <c r="E198" s="1" t="n">
        <v>46318</v>
      </c>
      <c r="F198" t="inlineStr">
        <is>
          <t>VÄRMLANDS LÄN</t>
        </is>
      </c>
      <c r="G198" t="inlineStr">
        <is>
          <t>GRUMS</t>
        </is>
      </c>
      <c r="I198" t="n">
        <v>2.9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11103-2022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44628</v>
      </c>
      <c r="E199" s="1" t="n">
        <v>46318</v>
      </c>
      <c r="F199" t="inlineStr">
        <is>
          <t>VÄRMLANDS LÄN</t>
        </is>
      </c>
      <c r="G199" t="inlineStr">
        <is>
          <t>GRUMS</t>
        </is>
      </c>
      <c r="I199" t="n">
        <v>5.7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29205-2026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46202</v>
      </c>
      <c r="E200" s="1" t="n">
        <v>46318</v>
      </c>
      <c r="F200" t="inlineStr">
        <is>
          <t>VÄRMLANDS LÄN</t>
        </is>
      </c>
      <c r="G200" t="inlineStr">
        <is>
          <t>GRUMS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21402-2024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45441</v>
      </c>
      <c r="E201" s="1" t="n">
        <v>46318</v>
      </c>
      <c r="F201" t="inlineStr">
        <is>
          <t>VÄRMLANDS LÄN</t>
        </is>
      </c>
      <c r="G201" t="inlineStr">
        <is>
          <t>GRUMS</t>
        </is>
      </c>
      <c r="I201" t="n">
        <v>1.3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29222-2026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46202</v>
      </c>
      <c r="E202" s="1" t="n">
        <v>46318</v>
      </c>
      <c r="F202" t="inlineStr">
        <is>
          <t>VÄRMLANDS LÄN</t>
        </is>
      </c>
      <c r="G202" t="inlineStr">
        <is>
          <t>GRUMS</t>
        </is>
      </c>
      <c r="I202" t="n">
        <v>3.3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29191-2026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46202</v>
      </c>
      <c r="E203" s="1" t="n">
        <v>46318</v>
      </c>
      <c r="F203" t="inlineStr">
        <is>
          <t>VÄRMLANDS LÄN</t>
        </is>
      </c>
      <c r="G203" t="inlineStr">
        <is>
          <t>GRUMS</t>
        </is>
      </c>
      <c r="I203" t="n">
        <v>5.1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14688-2026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46101</v>
      </c>
      <c r="E204" s="1" t="n">
        <v>46318</v>
      </c>
      <c r="F204" t="inlineStr">
        <is>
          <t>VÄRMLANDS LÄN</t>
        </is>
      </c>
      <c r="G204" t="inlineStr">
        <is>
          <t>GRUMS</t>
        </is>
      </c>
      <c r="I204" t="n">
        <v>2.2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32302-2024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45512</v>
      </c>
      <c r="E205" s="1" t="n">
        <v>46318</v>
      </c>
      <c r="F205" t="inlineStr">
        <is>
          <t>VÄRMLANDS LÄN</t>
        </is>
      </c>
      <c r="G205" t="inlineStr">
        <is>
          <t>GRUMS</t>
        </is>
      </c>
      <c r="H205" t="inlineStr">
        <is>
          <t>Bergvik skog väst AB</t>
        </is>
      </c>
      <c r="I205" t="n">
        <v>3.3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15549-2026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46106</v>
      </c>
      <c r="E206" s="1" t="n">
        <v>46318</v>
      </c>
      <c r="F206" t="inlineStr">
        <is>
          <t>VÄRMLANDS LÄN</t>
        </is>
      </c>
      <c r="G206" t="inlineStr">
        <is>
          <t>GRUMS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15543-2026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46106</v>
      </c>
      <c r="E207" s="1" t="n">
        <v>46318</v>
      </c>
      <c r="F207" t="inlineStr">
        <is>
          <t>VÄRMLANDS LÄN</t>
        </is>
      </c>
      <c r="G207" t="inlineStr">
        <is>
          <t>GRUMS</t>
        </is>
      </c>
      <c r="I207" t="n">
        <v>3.6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37221-2026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46274</v>
      </c>
      <c r="E208" s="1" t="n">
        <v>46318</v>
      </c>
      <c r="F208" t="inlineStr">
        <is>
          <t>VÄRMLANDS LÄN</t>
        </is>
      </c>
      <c r="G208" t="inlineStr">
        <is>
          <t>GRUMS</t>
        </is>
      </c>
      <c r="I208" t="n">
        <v>2.3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37243-2026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46274</v>
      </c>
      <c r="E209" s="1" t="n">
        <v>46318</v>
      </c>
      <c r="F209" t="inlineStr">
        <is>
          <t>VÄRMLANDS LÄN</t>
        </is>
      </c>
      <c r="G209" t="inlineStr">
        <is>
          <t>GRUMS</t>
        </is>
      </c>
      <c r="I209" t="n">
        <v>13.9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29736-2023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45107</v>
      </c>
      <c r="E210" s="1" t="n">
        <v>46318</v>
      </c>
      <c r="F210" t="inlineStr">
        <is>
          <t>VÄRMLANDS LÄN</t>
        </is>
      </c>
      <c r="G210" t="inlineStr">
        <is>
          <t>GRUMS</t>
        </is>
      </c>
      <c r="I210" t="n">
        <v>0.7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53138-2023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45229</v>
      </c>
      <c r="E211" s="1" t="n">
        <v>46318</v>
      </c>
      <c r="F211" t="inlineStr">
        <is>
          <t>VÄRMLANDS LÄN</t>
        </is>
      </c>
      <c r="G211" t="inlineStr">
        <is>
          <t>GRUMS</t>
        </is>
      </c>
      <c r="I211" t="n">
        <v>3.4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31034-2026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46214</v>
      </c>
      <c r="E212" s="1" t="n">
        <v>46318</v>
      </c>
      <c r="F212" t="inlineStr">
        <is>
          <t>VÄRMLANDS LÄN</t>
        </is>
      </c>
      <c r="G212" t="inlineStr">
        <is>
          <t>GRUMS</t>
        </is>
      </c>
      <c r="I212" t="n">
        <v>2.9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19566-2023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45049</v>
      </c>
      <c r="E213" s="1" t="n">
        <v>46318</v>
      </c>
      <c r="F213" t="inlineStr">
        <is>
          <t>VÄRMLANDS LÄN</t>
        </is>
      </c>
      <c r="G213" t="inlineStr">
        <is>
          <t>GRUMS</t>
        </is>
      </c>
      <c r="I213" t="n">
        <v>3.5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29762-2023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45107</v>
      </c>
      <c r="E214" s="1" t="n">
        <v>46318</v>
      </c>
      <c r="F214" t="inlineStr">
        <is>
          <t>VÄRMLANDS LÄN</t>
        </is>
      </c>
      <c r="G214" t="inlineStr">
        <is>
          <t>GRUMS</t>
        </is>
      </c>
      <c r="I214" t="n">
        <v>1.1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31559-2026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46224</v>
      </c>
      <c r="E215" s="1" t="n">
        <v>46318</v>
      </c>
      <c r="F215" t="inlineStr">
        <is>
          <t>VÄRMLANDS LÄN</t>
        </is>
      </c>
      <c r="G215" t="inlineStr">
        <is>
          <t>GRUMS</t>
        </is>
      </c>
      <c r="I215" t="n">
        <v>1.6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8364-2025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45708</v>
      </c>
      <c r="E216" s="1" t="n">
        <v>46318</v>
      </c>
      <c r="F216" t="inlineStr">
        <is>
          <t>VÄRMLANDS LÄN</t>
        </is>
      </c>
      <c r="G216" t="inlineStr">
        <is>
          <t>GRUMS</t>
        </is>
      </c>
      <c r="I216" t="n">
        <v>0.8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62896-2023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45272</v>
      </c>
      <c r="E217" s="1" t="n">
        <v>46318</v>
      </c>
      <c r="F217" t="inlineStr">
        <is>
          <t>VÄRMLANDS LÄN</t>
        </is>
      </c>
      <c r="G217" t="inlineStr">
        <is>
          <t>GRUMS</t>
        </is>
      </c>
      <c r="I217" t="n">
        <v>13.8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69847-2021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44532</v>
      </c>
      <c r="E218" s="1" t="n">
        <v>46318</v>
      </c>
      <c r="F218" t="inlineStr">
        <is>
          <t>VÄRMLANDS LÄN</t>
        </is>
      </c>
      <c r="G218" t="inlineStr">
        <is>
          <t>GRUMS</t>
        </is>
      </c>
      <c r="I218" t="n">
        <v>1.3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58705-2024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45635</v>
      </c>
      <c r="E219" s="1" t="n">
        <v>46318</v>
      </c>
      <c r="F219" t="inlineStr">
        <is>
          <t>VÄRMLANDS LÄN</t>
        </is>
      </c>
      <c r="G219" t="inlineStr">
        <is>
          <t>GRUMS</t>
        </is>
      </c>
      <c r="H219" t="inlineStr">
        <is>
          <t>Bergvik skog väst AB</t>
        </is>
      </c>
      <c r="I219" t="n">
        <v>4.3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22347-2023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45070</v>
      </c>
      <c r="E220" s="1" t="n">
        <v>46318</v>
      </c>
      <c r="F220" t="inlineStr">
        <is>
          <t>VÄRMLANDS LÄN</t>
        </is>
      </c>
      <c r="G220" t="inlineStr">
        <is>
          <t>GRUMS</t>
        </is>
      </c>
      <c r="I220" t="n">
        <v>1.7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32942-2026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46244</v>
      </c>
      <c r="E221" s="1" t="n">
        <v>46318</v>
      </c>
      <c r="F221" t="inlineStr">
        <is>
          <t>VÄRMLANDS LÄN</t>
        </is>
      </c>
      <c r="G221" t="inlineStr">
        <is>
          <t>GRUMS</t>
        </is>
      </c>
      <c r="I221" t="n">
        <v>2.1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33081-2022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44785</v>
      </c>
      <c r="E222" s="1" t="n">
        <v>46318</v>
      </c>
      <c r="F222" t="inlineStr">
        <is>
          <t>VÄRMLANDS LÄN</t>
        </is>
      </c>
      <c r="G222" t="inlineStr">
        <is>
          <t>GRUMS</t>
        </is>
      </c>
      <c r="I222" t="n">
        <v>2.4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25840-2024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45467</v>
      </c>
      <c r="E223" s="1" t="n">
        <v>46318</v>
      </c>
      <c r="F223" t="inlineStr">
        <is>
          <t>VÄRMLANDS LÄN</t>
        </is>
      </c>
      <c r="G223" t="inlineStr">
        <is>
          <t>GRUMS</t>
        </is>
      </c>
      <c r="I223" t="n">
        <v>2.2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37676-2023</t>
        </is>
      </c>
      <c r="B224" t="inlineStr">
        <is>
          <t>avverkningsanmälan</t>
        </is>
      </c>
      <c r="C224" t="inlineStr">
        <is>
          <t>Avverkning för annat ändamål</t>
        </is>
      </c>
      <c r="D224" s="1" t="n">
        <v>45159</v>
      </c>
      <c r="E224" s="1" t="n">
        <v>46318</v>
      </c>
      <c r="F224" t="inlineStr">
        <is>
          <t>VÄRMLANDS LÄN</t>
        </is>
      </c>
      <c r="G224" t="inlineStr">
        <is>
          <t>GRUMS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6751-2025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45700</v>
      </c>
      <c r="E225" s="1" t="n">
        <v>46318</v>
      </c>
      <c r="F225" t="inlineStr">
        <is>
          <t>VÄRMLANDS LÄN</t>
        </is>
      </c>
      <c r="G225" t="inlineStr">
        <is>
          <t>GRUMS</t>
        </is>
      </c>
      <c r="I225" t="n">
        <v>0.9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50640-2023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45217</v>
      </c>
      <c r="E226" s="1" t="n">
        <v>46318</v>
      </c>
      <c r="F226" t="inlineStr">
        <is>
          <t>VÄRMLANDS LÄN</t>
        </is>
      </c>
      <c r="G226" t="inlineStr">
        <is>
          <t>GRUMS</t>
        </is>
      </c>
      <c r="I226" t="n">
        <v>1.2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34580-2022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44795</v>
      </c>
      <c r="E227" s="1" t="n">
        <v>46318</v>
      </c>
      <c r="F227" t="inlineStr">
        <is>
          <t>VÄRMLANDS LÄN</t>
        </is>
      </c>
      <c r="G227" t="inlineStr">
        <is>
          <t>GRUMS</t>
        </is>
      </c>
      <c r="I227" t="n">
        <v>0.9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12000-2022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44635</v>
      </c>
      <c r="E228" s="1" t="n">
        <v>46318</v>
      </c>
      <c r="F228" t="inlineStr">
        <is>
          <t>VÄRMLANDS LÄN</t>
        </is>
      </c>
      <c r="G228" t="inlineStr">
        <is>
          <t>GRUMS</t>
        </is>
      </c>
      <c r="I228" t="n">
        <v>0.7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42557-2022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44831</v>
      </c>
      <c r="E229" s="1" t="n">
        <v>46318</v>
      </c>
      <c r="F229" t="inlineStr">
        <is>
          <t>VÄRMLANDS LÄN</t>
        </is>
      </c>
      <c r="G229" t="inlineStr">
        <is>
          <t>GRUMS</t>
        </is>
      </c>
      <c r="I229" t="n">
        <v>13.7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35253-2022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44797</v>
      </c>
      <c r="E230" s="1" t="n">
        <v>46318</v>
      </c>
      <c r="F230" t="inlineStr">
        <is>
          <t>VÄRMLANDS LÄN</t>
        </is>
      </c>
      <c r="G230" t="inlineStr">
        <is>
          <t>GRUMS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13820-2024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45390</v>
      </c>
      <c r="E231" s="1" t="n">
        <v>46318</v>
      </c>
      <c r="F231" t="inlineStr">
        <is>
          <t>VÄRMLANDS LÄN</t>
        </is>
      </c>
      <c r="G231" t="inlineStr">
        <is>
          <t>GRUMS</t>
        </is>
      </c>
      <c r="I231" t="n">
        <v>7.2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17565-2025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45757</v>
      </c>
      <c r="E232" s="1" t="n">
        <v>46318</v>
      </c>
      <c r="F232" t="inlineStr">
        <is>
          <t>VÄRMLANDS LÄN</t>
        </is>
      </c>
      <c r="G232" t="inlineStr">
        <is>
          <t>GRUMS</t>
        </is>
      </c>
      <c r="I232" t="n">
        <v>1.1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31362-2024</t>
        </is>
      </c>
      <c r="B233" t="inlineStr">
        <is>
          <t>avverkningsanmälan</t>
        </is>
      </c>
      <c r="C233" t="inlineStr">
        <is>
          <t>Avverkning för annat ändamål</t>
        </is>
      </c>
      <c r="D233" s="1" t="n">
        <v>45505</v>
      </c>
      <c r="E233" s="1" t="n">
        <v>46318</v>
      </c>
      <c r="F233" t="inlineStr">
        <is>
          <t>VÄRMLANDS LÄN</t>
        </is>
      </c>
      <c r="G233" t="inlineStr">
        <is>
          <t>GRUMS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34538-2026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46255</v>
      </c>
      <c r="E234" s="1" t="n">
        <v>46318</v>
      </c>
      <c r="F234" t="inlineStr">
        <is>
          <t>VÄRMLANDS LÄN</t>
        </is>
      </c>
      <c r="G234" t="inlineStr">
        <is>
          <t>GRUMS</t>
        </is>
      </c>
      <c r="I234" t="n">
        <v>3.3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41154-2026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46300</v>
      </c>
      <c r="E235" s="1" t="n">
        <v>46318</v>
      </c>
      <c r="F235" t="inlineStr">
        <is>
          <t>VÄRMLANDS LÄN</t>
        </is>
      </c>
      <c r="G235" t="inlineStr">
        <is>
          <t>GRUMS</t>
        </is>
      </c>
      <c r="H235" t="inlineStr">
        <is>
          <t>Kommuner</t>
        </is>
      </c>
      <c r="I235" t="n">
        <v>20.8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3065-2024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45316</v>
      </c>
      <c r="E236" s="1" t="n">
        <v>46318</v>
      </c>
      <c r="F236" t="inlineStr">
        <is>
          <t>VÄRMLANDS LÄN</t>
        </is>
      </c>
      <c r="G236" t="inlineStr">
        <is>
          <t>GRUMS</t>
        </is>
      </c>
      <c r="I236" t="n">
        <v>0.8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17081-2024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45412</v>
      </c>
      <c r="E237" s="1" t="n">
        <v>46318</v>
      </c>
      <c r="F237" t="inlineStr">
        <is>
          <t>VÄRMLANDS LÄN</t>
        </is>
      </c>
      <c r="G237" t="inlineStr">
        <is>
          <t>GRUMS</t>
        </is>
      </c>
      <c r="I237" t="n">
        <v>0.8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7993-2024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45350</v>
      </c>
      <c r="E238" s="1" t="n">
        <v>46318</v>
      </c>
      <c r="F238" t="inlineStr">
        <is>
          <t>VÄRMLANDS LÄN</t>
        </is>
      </c>
      <c r="G238" t="inlineStr">
        <is>
          <t>GRUMS</t>
        </is>
      </c>
      <c r="I238" t="n">
        <v>2.1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45467-2022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44845</v>
      </c>
      <c r="E239" s="1" t="n">
        <v>46318</v>
      </c>
      <c r="F239" t="inlineStr">
        <is>
          <t>VÄRMLANDS LÄN</t>
        </is>
      </c>
      <c r="G239" t="inlineStr">
        <is>
          <t>GRUMS</t>
        </is>
      </c>
      <c r="I239" t="n">
        <v>4.6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5011-2024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45329</v>
      </c>
      <c r="E240" s="1" t="n">
        <v>46318</v>
      </c>
      <c r="F240" t="inlineStr">
        <is>
          <t>VÄRMLANDS LÄN</t>
        </is>
      </c>
      <c r="G240" t="inlineStr">
        <is>
          <t>GRUMS</t>
        </is>
      </c>
      <c r="I240" t="n">
        <v>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53137-2023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45229</v>
      </c>
      <c r="E241" s="1" t="n">
        <v>46318</v>
      </c>
      <c r="F241" t="inlineStr">
        <is>
          <t>VÄRMLANDS LÄN</t>
        </is>
      </c>
      <c r="G241" t="inlineStr">
        <is>
          <t>GRUMS</t>
        </is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9144-2024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45358</v>
      </c>
      <c r="E242" s="1" t="n">
        <v>46318</v>
      </c>
      <c r="F242" t="inlineStr">
        <is>
          <t>VÄRMLANDS LÄN</t>
        </is>
      </c>
      <c r="G242" t="inlineStr">
        <is>
          <t>GRUMS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62682-2023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45271</v>
      </c>
      <c r="E243" s="1" t="n">
        <v>46318</v>
      </c>
      <c r="F243" t="inlineStr">
        <is>
          <t>VÄRMLANDS LÄN</t>
        </is>
      </c>
      <c r="G243" t="inlineStr">
        <is>
          <t>GRUMS</t>
        </is>
      </c>
      <c r="I243" t="n">
        <v>1.7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4982-2024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45329</v>
      </c>
      <c r="E244" s="1" t="n">
        <v>46318</v>
      </c>
      <c r="F244" t="inlineStr">
        <is>
          <t>VÄRMLANDS LÄN</t>
        </is>
      </c>
      <c r="G244" t="inlineStr">
        <is>
          <t>GRUMS</t>
        </is>
      </c>
      <c r="I244" t="n">
        <v>1.6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62947-2023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45272</v>
      </c>
      <c r="E245" s="1" t="n">
        <v>46318</v>
      </c>
      <c r="F245" t="inlineStr">
        <is>
          <t>VÄRMLANDS LÄN</t>
        </is>
      </c>
      <c r="G245" t="inlineStr">
        <is>
          <t>GRUMS</t>
        </is>
      </c>
      <c r="I245" t="n">
        <v>1.7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31930-2024</t>
        </is>
      </c>
      <c r="B246" t="inlineStr">
        <is>
          <t>avverkningsanmälan</t>
        </is>
      </c>
      <c r="C246" t="inlineStr">
        <is>
          <t>Avverkning för annat ändamål</t>
        </is>
      </c>
      <c r="D246" s="1" t="n">
        <v>45510</v>
      </c>
      <c r="E246" s="1" t="n">
        <v>46318</v>
      </c>
      <c r="F246" t="inlineStr">
        <is>
          <t>VÄRMLANDS LÄN</t>
        </is>
      </c>
      <c r="G246" t="inlineStr">
        <is>
          <t>GRUMS</t>
        </is>
      </c>
      <c r="I246" t="n">
        <v>0.6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71706-2021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44543</v>
      </c>
      <c r="E247" s="1" t="n">
        <v>46318</v>
      </c>
      <c r="F247" t="inlineStr">
        <is>
          <t>VÄRMLANDS LÄN</t>
        </is>
      </c>
      <c r="G247" t="inlineStr">
        <is>
          <t>GRUMS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40935-2022</t>
        </is>
      </c>
      <c r="B248" t="inlineStr">
        <is>
          <t>avverkningsanmälan</t>
        </is>
      </c>
      <c r="C248" t="inlineStr">
        <is>
          <t>Avverkning för annat ändamål</t>
        </is>
      </c>
      <c r="D248" s="1" t="n">
        <v>44823</v>
      </c>
      <c r="E248" s="1" t="n">
        <v>46318</v>
      </c>
      <c r="F248" t="inlineStr">
        <is>
          <t>VÄRMLANDS LÄN</t>
        </is>
      </c>
      <c r="G248" t="inlineStr">
        <is>
          <t>GRUMS</t>
        </is>
      </c>
      <c r="H248" t="inlineStr">
        <is>
          <t>Bergvik skog väst AB</t>
        </is>
      </c>
      <c r="I248" t="n">
        <v>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42338-2026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46307</v>
      </c>
      <c r="E249" s="1" t="n">
        <v>46318</v>
      </c>
      <c r="F249" t="inlineStr">
        <is>
          <t>VÄRMLANDS LÄN</t>
        </is>
      </c>
      <c r="G249" t="inlineStr">
        <is>
          <t>GRUMS</t>
        </is>
      </c>
      <c r="I249" t="n">
        <v>2.9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6938-2024</t>
        </is>
      </c>
      <c r="B250" t="inlineStr">
        <is>
          <t>avverkningsanmälan</t>
        </is>
      </c>
      <c r="C250" t="inlineStr">
        <is>
          <t>Avverkning för annat ändamål</t>
        </is>
      </c>
      <c r="D250" s="1" t="n">
        <v>45343</v>
      </c>
      <c r="E250" s="1" t="n">
        <v>46318</v>
      </c>
      <c r="F250" t="inlineStr">
        <is>
          <t>VÄRMLANDS LÄN</t>
        </is>
      </c>
      <c r="G250" t="inlineStr">
        <is>
          <t>GRUMS</t>
        </is>
      </c>
      <c r="I250" t="n">
        <v>2.8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42954-2026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46310</v>
      </c>
      <c r="E251" s="1" t="n">
        <v>46318</v>
      </c>
      <c r="F251" t="inlineStr">
        <is>
          <t>VÄRMLANDS LÄN</t>
        </is>
      </c>
      <c r="G251" t="inlineStr">
        <is>
          <t>GRUMS</t>
        </is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14306-2023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45011</v>
      </c>
      <c r="E252" s="1" t="n">
        <v>46318</v>
      </c>
      <c r="F252" t="inlineStr">
        <is>
          <t>VÄRMLANDS LÄN</t>
        </is>
      </c>
      <c r="G252" t="inlineStr">
        <is>
          <t>GRUMS</t>
        </is>
      </c>
      <c r="I252" t="n">
        <v>4.3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42988-2026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46310</v>
      </c>
      <c r="E253" s="1" t="n">
        <v>46318</v>
      </c>
      <c r="F253" t="inlineStr">
        <is>
          <t>VÄRMLANDS LÄN</t>
        </is>
      </c>
      <c r="G253" t="inlineStr">
        <is>
          <t>GRUMS</t>
        </is>
      </c>
      <c r="I253" t="n">
        <v>10.3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17972-2025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45761</v>
      </c>
      <c r="E254" s="1" t="n">
        <v>46318</v>
      </c>
      <c r="F254" t="inlineStr">
        <is>
          <t>VÄRMLANDS LÄN</t>
        </is>
      </c>
      <c r="G254" t="inlineStr">
        <is>
          <t>GRUMS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27222-2023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45096</v>
      </c>
      <c r="E255" s="1" t="n">
        <v>46318</v>
      </c>
      <c r="F255" t="inlineStr">
        <is>
          <t>VÄRMLANDS LÄN</t>
        </is>
      </c>
      <c r="G255" t="inlineStr">
        <is>
          <t>GRUMS</t>
        </is>
      </c>
      <c r="I255" t="n">
        <v>1.3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36644-2023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45153</v>
      </c>
      <c r="E256" s="1" t="n">
        <v>46318</v>
      </c>
      <c r="F256" t="inlineStr">
        <is>
          <t>VÄRMLANDS LÄN</t>
        </is>
      </c>
      <c r="G256" t="inlineStr">
        <is>
          <t>GRUMS</t>
        </is>
      </c>
      <c r="I256" t="n">
        <v>0.5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8788-2024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45356</v>
      </c>
      <c r="E257" s="1" t="n">
        <v>46318</v>
      </c>
      <c r="F257" t="inlineStr">
        <is>
          <t>VÄRMLANDS LÄN</t>
        </is>
      </c>
      <c r="G257" t="inlineStr">
        <is>
          <t>GRUMS</t>
        </is>
      </c>
      <c r="I257" t="n">
        <v>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62554-2022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44924</v>
      </c>
      <c r="E258" s="1" t="n">
        <v>46318</v>
      </c>
      <c r="F258" t="inlineStr">
        <is>
          <t>VÄRMLANDS LÄN</t>
        </is>
      </c>
      <c r="G258" t="inlineStr">
        <is>
          <t>GRUMS</t>
        </is>
      </c>
      <c r="I258" t="n">
        <v>0.6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21528-2024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45441</v>
      </c>
      <c r="E259" s="1" t="n">
        <v>46318</v>
      </c>
      <c r="F259" t="inlineStr">
        <is>
          <t>VÄRMLANDS LÄN</t>
        </is>
      </c>
      <c r="G259" t="inlineStr">
        <is>
          <t>GRUMS</t>
        </is>
      </c>
      <c r="I259" t="n">
        <v>1.4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20954-2023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45061</v>
      </c>
      <c r="E260" s="1" t="n">
        <v>46318</v>
      </c>
      <c r="F260" t="inlineStr">
        <is>
          <t>VÄRMLANDS LÄN</t>
        </is>
      </c>
      <c r="G260" t="inlineStr">
        <is>
          <t>GRUMS</t>
        </is>
      </c>
      <c r="I260" t="n">
        <v>1.8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10892-2022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44627</v>
      </c>
      <c r="E261" s="1" t="n">
        <v>46318</v>
      </c>
      <c r="F261" t="inlineStr">
        <is>
          <t>VÄRMLANDS LÄN</t>
        </is>
      </c>
      <c r="G261" t="inlineStr">
        <is>
          <t>GRUMS</t>
        </is>
      </c>
      <c r="I261" t="n">
        <v>1.4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29426-2022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44753</v>
      </c>
      <c r="E262" s="1" t="n">
        <v>46318</v>
      </c>
      <c r="F262" t="inlineStr">
        <is>
          <t>VÄRMLANDS LÄN</t>
        </is>
      </c>
      <c r="G262" t="inlineStr">
        <is>
          <t>GRUMS</t>
        </is>
      </c>
      <c r="H262" t="inlineStr">
        <is>
          <t>Bergvik skog väst AB</t>
        </is>
      </c>
      <c r="I262" t="n">
        <v>14.4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44048-2023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45188</v>
      </c>
      <c r="E263" s="1" t="n">
        <v>46318</v>
      </c>
      <c r="F263" t="inlineStr">
        <is>
          <t>VÄRMLANDS LÄN</t>
        </is>
      </c>
      <c r="G263" t="inlineStr">
        <is>
          <t>GRUMS</t>
        </is>
      </c>
      <c r="I263" t="n">
        <v>2.5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62905-2023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45272</v>
      </c>
      <c r="E264" s="1" t="n">
        <v>46318</v>
      </c>
      <c r="F264" t="inlineStr">
        <is>
          <t>VÄRMLANDS LÄN</t>
        </is>
      </c>
      <c r="G264" t="inlineStr">
        <is>
          <t>GRUMS</t>
        </is>
      </c>
      <c r="I264" t="n">
        <v>13.8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S 2221-2023</t>
        </is>
      </c>
      <c r="B265" t="inlineStr">
        <is>
          <t>samrådsanmälan</t>
        </is>
      </c>
      <c r="C265" t="inlineStr">
        <is>
          <t>Askåterföring</t>
        </is>
      </c>
      <c r="D265" s="1" t="n">
        <v>45099</v>
      </c>
      <c r="E265" s="1" t="n">
        <v>46318</v>
      </c>
      <c r="F265" t="inlineStr">
        <is>
          <t>VÄRMLANDS LÄN</t>
        </is>
      </c>
      <c r="G265" t="inlineStr">
        <is>
          <t>GRUMS</t>
        </is>
      </c>
      <c r="H265" t="inlineStr">
        <is>
          <t>Bergvik skog väst AB</t>
        </is>
      </c>
      <c r="I265" t="n">
        <v>5.5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S 4473-2023</t>
        </is>
      </c>
      <c r="B266" t="inlineStr">
        <is>
          <t>samrådsanmälan</t>
        </is>
      </c>
      <c r="C266" t="inlineStr">
        <is>
          <t>Askåterföring</t>
        </is>
      </c>
      <c r="D266" s="1" t="n">
        <v>45272</v>
      </c>
      <c r="E266" s="1" t="n">
        <v>46318</v>
      </c>
      <c r="F266" t="inlineStr">
        <is>
          <t>VÄRMLANDS LÄN</t>
        </is>
      </c>
      <c r="G266" t="inlineStr">
        <is>
          <t>GRUMS</t>
        </is>
      </c>
      <c r="I266" t="n">
        <v>43.7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S 2137-2025</t>
        </is>
      </c>
      <c r="B267" t="inlineStr">
        <is>
          <t>samrådsanmälan</t>
        </is>
      </c>
      <c r="C267" t="inlineStr">
        <is>
          <t>Skogsgödsling</t>
        </is>
      </c>
      <c r="D267" s="1" t="n">
        <v>45846</v>
      </c>
      <c r="E267" s="1" t="n">
        <v>46318</v>
      </c>
      <c r="F267" t="inlineStr">
        <is>
          <t>VÄRMLANDS LÄN</t>
        </is>
      </c>
      <c r="G267" t="inlineStr">
        <is>
          <t>GRUMS</t>
        </is>
      </c>
      <c r="I267" t="n">
        <v>20.2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S 3158-2025</t>
        </is>
      </c>
      <c r="B268" t="inlineStr">
        <is>
          <t>samrådsanmälan</t>
        </is>
      </c>
      <c r="C268" t="inlineStr">
        <is>
          <t>Annan skogsbruksåtgärd</t>
        </is>
      </c>
      <c r="D268" s="1" t="n">
        <v>45973</v>
      </c>
      <c r="E268" s="1" t="n">
        <v>46318</v>
      </c>
      <c r="F268" t="inlineStr">
        <is>
          <t>VÄRMLANDS LÄN</t>
        </is>
      </c>
      <c r="G268" t="inlineStr">
        <is>
          <t>GRUMS</t>
        </is>
      </c>
      <c r="I268" t="n">
        <v>8.1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>
      <c r="A269" t="inlineStr">
        <is>
          <t>S 88-2026</t>
        </is>
      </c>
      <c r="B269" t="inlineStr">
        <is>
          <t>samrådsanmälan</t>
        </is>
      </c>
      <c r="C269" t="inlineStr">
        <is>
          <t>Skogsgödsling</t>
        </is>
      </c>
      <c r="D269" s="1" t="n">
        <v>46035</v>
      </c>
      <c r="E269" s="1" t="n">
        <v>46318</v>
      </c>
      <c r="F269" t="inlineStr">
        <is>
          <t>VÄRMLANDS LÄN</t>
        </is>
      </c>
      <c r="G269" t="inlineStr">
        <is>
          <t>GRUMS</t>
        </is>
      </c>
      <c r="H269" t="inlineStr">
        <is>
          <t>Bergvik skog väst AB</t>
        </is>
      </c>
      <c r="I269" t="n">
        <v>1.8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2026-10-23T02:01:18Z</dcterms:created>
  <dcterms:modified xmlns:dcterms="http://purl.org/dc/terms/" xmlns:xsi="http://www.w3.org/2001/XMLSchema-instance" xsi:type="dcterms:W3CDTF">2026-10-23T02:01:18Z</dcterms:modified>
</cp:coreProperties>
</file>