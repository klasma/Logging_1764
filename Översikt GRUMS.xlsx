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S 2768-2026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46317</v>
      </c>
      <c r="E4" s="1" t="n">
        <v>46324</v>
      </c>
      <c r="F4" t="inlineStr">
        <is>
          <t>VÄRMLANDS LÄN</t>
        </is>
      </c>
      <c r="G4" t="inlineStr">
        <is>
          <t>GRUMS</t>
        </is>
      </c>
      <c r="I4" t="n">
        <v>1.6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Gullpudra
Dvärghäxört
Myskmadra
Springkorn
Strutbräken
Blåsippa
Äkta lopplummer</t>
        </is>
      </c>
      <c r="W4">
        <f>HYPERLINK("https://klasma.github.io/Logging_1764/artfynd/S 2768-2026 artfynd.xlsx", "S 2768-2026")</f>
        <v/>
      </c>
      <c r="X4">
        <f>HYPERLINK("https://klasma.github.io/Logging_1764/kartor/S 2768-2026 karta.png", "S 2768-2026")</f>
        <v/>
      </c>
      <c r="Y4">
        <f>HYPERLINK("https://klasma.github.io/Logging_1764/kartor_geotiff/S 2768-2026 georefererad karta.tif", "S 2768-2026")</f>
        <v/>
      </c>
      <c r="AA4">
        <f>HYPERLINK("https://klasma.github.io/Logging_1764/klagomål/S 2768-2026 FSC-klagomål.docx", "S 2768-2026")</f>
        <v/>
      </c>
      <c r="AB4">
        <f>HYPERLINK("https://klasma.github.io/Logging_1764/klagomålsmail/S 2768-2026 FSC-klagomål mail.docx", "S 2768-2026")</f>
        <v/>
      </c>
      <c r="AC4">
        <f>HYPERLINK("https://klasma.github.io/Logging_1764/tillsyn/S 2768-2026 tillsynsbegäran.docx", "S 2768-2026")</f>
        <v/>
      </c>
      <c r="AD4">
        <f>HYPERLINK("https://klasma.github.io/Logging_1764/tillsynsmail/S 2768-2026 tillsynsbegäran mail.docx", "S 2768-2026")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46324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46324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46324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61327-2021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46324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Talltagel
Tallticka
Vanlig snok</t>
        </is>
      </c>
      <c r="W8">
        <f>HYPERLINK("https://klasma.github.io/Logging_1764/artfynd/A 61327-2021 artfynd.xlsx", "A 61327-2021")</f>
        <v/>
      </c>
      <c r="X8">
        <f>HYPERLINK("https://klasma.github.io/Logging_1764/kartor/A 61327-2021 karta.png", "A 61327-2021")</f>
        <v/>
      </c>
      <c r="Y8">
        <f>HYPERLINK("https://klasma.github.io/Logging_1764/kartor_geotiff/A 61327-2021 georefererad karta.tif", "A 61327-2021")</f>
        <v/>
      </c>
      <c r="AA8">
        <f>HYPERLINK("https://klasma.github.io/Logging_1764/klagomål/A 61327-2021 FSC-klagomål.docx", "A 61327-2021")</f>
        <v/>
      </c>
      <c r="AB8">
        <f>HYPERLINK("https://klasma.github.io/Logging_1764/klagomålsmail/A 61327-2021 FSC-klagomål mail.docx", "A 61327-2021")</f>
        <v/>
      </c>
      <c r="AC8">
        <f>HYPERLINK("https://klasma.github.io/Logging_1764/tillsyn/A 61327-2021 tillsynsbegäran.docx", "A 61327-2021")</f>
        <v/>
      </c>
      <c r="AD8">
        <f>HYPERLINK("https://klasma.github.io/Logging_1764/tillsynsmail/A 61327-2021 tillsynsbegäran mail.docx", "A 61327-2021")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46324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A 34099-2026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46324</v>
      </c>
      <c r="F10" t="inlineStr">
        <is>
          <t>VÄRMLANDS LÄN</t>
        </is>
      </c>
      <c r="G10" t="inlineStr">
        <is>
          <t>GRUMS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0</v>
      </c>
      <c r="V10" s="2" t="inlineStr">
        <is>
          <t>Dofttaggsvamp
Björksplintborre
Revlummer</t>
        </is>
      </c>
      <c r="W10">
        <f>HYPERLINK("https://klasma.github.io/Logging_1764/artfynd/A 34099-2026 artfynd.xlsx", "A 34099-2026")</f>
        <v/>
      </c>
      <c r="X10">
        <f>HYPERLINK("https://klasma.github.io/Logging_1764/kartor/A 34099-2026 karta.png", "A 34099-2026")</f>
        <v/>
      </c>
      <c r="Y10">
        <f>HYPERLINK("https://klasma.github.io/Logging_1764/kartor_geotiff/A 34099-2026 georefererad karta.tif", "A 34099-2026")</f>
        <v/>
      </c>
      <c r="AA10">
        <f>HYPERLINK("https://klasma.github.io/Logging_1764/klagomål/A 34099-2026 FSC-klagomål.docx", "A 34099-2026")</f>
        <v/>
      </c>
      <c r="AB10">
        <f>HYPERLINK("https://klasma.github.io/Logging_1764/klagomålsmail/A 34099-2026 FSC-klagomål mail.docx", "A 34099-2026")</f>
        <v/>
      </c>
      <c r="AC10">
        <f>HYPERLINK("https://klasma.github.io/Logging_1764/tillsyn/A 34099-2026 tillsynsbegäran.docx", "A 34099-2026")</f>
        <v/>
      </c>
      <c r="AD10">
        <f>HYPERLINK("https://klasma.github.io/Logging_1764/tillsynsmail/A 34099-2026 tillsynsbegäran mail.docx", "A 34099-2026")</f>
        <v/>
      </c>
    </row>
    <row r="11" ht="15" customHeight="1">
      <c r="A11" t="inlineStr">
        <is>
          <t>S 755-2023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44981</v>
      </c>
      <c r="E11" s="1" t="n">
        <v>46324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79.3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Motaggsvamp
Mattlummer</t>
        </is>
      </c>
      <c r="W11">
        <f>HYPERLINK("https://klasma.github.io/Logging_1764/artfynd/S 755-2023 artfynd.xlsx", "S 755-2023")</f>
        <v/>
      </c>
      <c r="X11">
        <f>HYPERLINK("https://klasma.github.io/Logging_1764/kartor/S 755-2023 karta.png", "S 755-2023")</f>
        <v/>
      </c>
      <c r="Y11">
        <f>HYPERLINK("https://klasma.github.io/Logging_1764/kartor_geotiff/S 755-2023 georefererad karta.tif", "S 755-2023")</f>
        <v/>
      </c>
      <c r="Z11">
        <f>HYPERLINK("https://klasma.github.io/Logging_1764/knärot/S 755-2023 karta knärot.png", "S 755-2023")</f>
        <v/>
      </c>
      <c r="AA11">
        <f>HYPERLINK("https://klasma.github.io/Logging_1764/klagomål/S 755-2023 FSC-klagomål.docx", "S 755-2023")</f>
        <v/>
      </c>
      <c r="AB11">
        <f>HYPERLINK("https://klasma.github.io/Logging_1764/klagomålsmail/S 755-2023 FSC-klagomål mail.docx", "S 755-2023")</f>
        <v/>
      </c>
      <c r="AC11">
        <f>HYPERLINK("https://klasma.github.io/Logging_1764/tillsyn/S 755-2023 tillsynsbegäran.docx", "S 755-2023")</f>
        <v/>
      </c>
      <c r="AD11">
        <f>HYPERLINK("https://klasma.github.io/Logging_1764/tillsynsmail/S 755-2023 tillsynsbegäran mail.docx", "S 755-2023")</f>
        <v/>
      </c>
    </row>
    <row r="12" ht="15" customHeight="1">
      <c r="A12" t="inlineStr">
        <is>
          <t>S 2217-2023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45099</v>
      </c>
      <c r="E12" s="1" t="n">
        <v>46324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39.1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Tjäder
Lopplummer (aggregat)</t>
        </is>
      </c>
      <c r="W12">
        <f>HYPERLINK("https://klasma.github.io/Logging_1764/artfynd/S 2217-2023 artfynd.xlsx", "S 2217-2023")</f>
        <v/>
      </c>
      <c r="X12">
        <f>HYPERLINK("https://klasma.github.io/Logging_1764/kartor/S 2217-2023 karta.png", "S 2217-2023")</f>
        <v/>
      </c>
      <c r="Y12">
        <f>HYPERLINK("https://klasma.github.io/Logging_1764/kartor_geotiff/S 2217-2023 georefererad karta.tif", "S 2217-2023")</f>
        <v/>
      </c>
      <c r="AA12">
        <f>HYPERLINK("https://klasma.github.io/Logging_1764/klagomål/S 2217-2023 FSC-klagomål.docx", "S 2217-2023")</f>
        <v/>
      </c>
      <c r="AB12">
        <f>HYPERLINK("https://klasma.github.io/Logging_1764/klagomålsmail/S 2217-2023 FSC-klagomål mail.docx", "S 2217-2023")</f>
        <v/>
      </c>
      <c r="AC12">
        <f>HYPERLINK("https://klasma.github.io/Logging_1764/tillsyn/S 2217-2023 tillsynsbegäran.docx", "S 2217-2023")</f>
        <v/>
      </c>
      <c r="AD12">
        <f>HYPERLINK("https://klasma.github.io/Logging_1764/tillsynsmail/S 2217-2023 tillsynsbegäran mail.docx", "S 2217-2023")</f>
        <v/>
      </c>
      <c r="AE12">
        <f>HYPERLINK("https://klasma.github.io/Logging_1764/fåglar/S 2217-2023 prioriterade fågelarter.docx", "S 2217-2023")</f>
        <v/>
      </c>
    </row>
    <row r="13" ht="15" customHeight="1">
      <c r="A13" t="inlineStr">
        <is>
          <t>A 7931-2025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45706</v>
      </c>
      <c r="E13" s="1" t="n">
        <v>46324</v>
      </c>
      <c r="F13" t="inlineStr">
        <is>
          <t>VÄRMLANDS LÄN</t>
        </is>
      </c>
      <c r="G13" t="inlineStr">
        <is>
          <t>GRUMS</t>
        </is>
      </c>
      <c r="H13" t="inlineStr">
        <is>
          <t>Bergvik skog väst AB</t>
        </is>
      </c>
      <c r="I13" t="n">
        <v>13.8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Blåsippa
Skogsödla</t>
        </is>
      </c>
      <c r="W13">
        <f>HYPERLINK("https://klasma.github.io/Logging_1764/artfynd/A 7931-2025 artfynd.xlsx", "A 7931-2025")</f>
        <v/>
      </c>
      <c r="X13">
        <f>HYPERLINK("https://klasma.github.io/Logging_1764/kartor/A 7931-2025 karta.png", "A 7931-2025")</f>
        <v/>
      </c>
      <c r="Y13">
        <f>HYPERLINK("https://klasma.github.io/Logging_1764/kartor_geotiff/A 7931-2025 georefererad karta.tif", "A 7931-2025")</f>
        <v/>
      </c>
      <c r="AA13">
        <f>HYPERLINK("https://klasma.github.io/Logging_1764/klagomål/A 7931-2025 FSC-klagomål.docx", "A 7931-2025")</f>
        <v/>
      </c>
      <c r="AB13">
        <f>HYPERLINK("https://klasma.github.io/Logging_1764/klagomålsmail/A 7931-2025 FSC-klagomål mail.docx", "A 7931-2025")</f>
        <v/>
      </c>
      <c r="AC13">
        <f>HYPERLINK("https://klasma.github.io/Logging_1764/tillsyn/A 7931-2025 tillsynsbegäran.docx", "A 7931-2025")</f>
        <v/>
      </c>
      <c r="AD13">
        <f>HYPERLINK("https://klasma.github.io/Logging_1764/tillsynsmail/A 7931-2025 tillsynsbegäran mail.docx", "A 7931-2025")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46324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56386-2022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44890</v>
      </c>
      <c r="E15" s="1" t="n">
        <v>46324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Vågfibbla
Rönnfibbla</t>
        </is>
      </c>
      <c r="W15">
        <f>HYPERLINK("https://klasma.github.io/Logging_1764/artfynd/A 56386-2022 artfynd.xlsx", "A 56386-2022")</f>
        <v/>
      </c>
      <c r="X15">
        <f>HYPERLINK("https://klasma.github.io/Logging_1764/kartor/A 56386-2022 karta.png", "A 56386-2022")</f>
        <v/>
      </c>
      <c r="Y15">
        <f>HYPERLINK("https://klasma.github.io/Logging_1764/kartor_geotiff/A 56386-2022 georefererad karta.tif", "A 56386-2022")</f>
        <v/>
      </c>
      <c r="AA15">
        <f>HYPERLINK("https://klasma.github.io/Logging_1764/klagomål/A 56386-2022 FSC-klagomål.docx", "A 56386-2022")</f>
        <v/>
      </c>
      <c r="AB15">
        <f>HYPERLINK("https://klasma.github.io/Logging_1764/klagomålsmail/A 56386-2022 FSC-klagomål mail.docx", "A 56386-2022")</f>
        <v/>
      </c>
      <c r="AC15">
        <f>HYPERLINK("https://klasma.github.io/Logging_1764/tillsyn/A 56386-2022 tillsynsbegäran.docx", "A 56386-2022")</f>
        <v/>
      </c>
      <c r="AD15">
        <f>HYPERLINK("https://klasma.github.io/Logging_1764/tillsynsmail/A 56386-2022 tillsynsbegäran mail.docx", "A 56386-2022")</f>
        <v/>
      </c>
    </row>
    <row r="16" ht="15" customHeight="1">
      <c r="A16" t="inlineStr">
        <is>
          <t>A 23860-2023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46324</v>
      </c>
      <c r="F16" t="inlineStr">
        <is>
          <t>VÄRMLANDS LÄN</t>
        </is>
      </c>
      <c r="G16" t="inlineStr">
        <is>
          <t>GRUMS</t>
        </is>
      </c>
      <c r="I16" t="n">
        <v>3.5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Gullpudra
Gulsparv</t>
        </is>
      </c>
      <c r="W16">
        <f>HYPERLINK("https://klasma.github.io/Logging_1764/artfynd/A 23860-2023 artfynd.xlsx", "A 23860-2023")</f>
        <v/>
      </c>
      <c r="X16">
        <f>HYPERLINK("https://klasma.github.io/Logging_1764/kartor/A 23860-2023 karta.png", "A 23860-2023")</f>
        <v/>
      </c>
      <c r="Y16">
        <f>HYPERLINK("https://klasma.github.io/Logging_1764/kartor_geotiff/A 23860-2023 georefererad karta.tif", "A 23860-2023")</f>
        <v/>
      </c>
      <c r="AA16">
        <f>HYPERLINK("https://klasma.github.io/Logging_1764/klagomål/A 23860-2023 FSC-klagomål.docx", "A 23860-2023")</f>
        <v/>
      </c>
      <c r="AB16">
        <f>HYPERLINK("https://klasma.github.io/Logging_1764/klagomålsmail/A 23860-2023 FSC-klagomål mail.docx", "A 23860-2023")</f>
        <v/>
      </c>
      <c r="AC16">
        <f>HYPERLINK("https://klasma.github.io/Logging_1764/tillsyn/A 23860-2023 tillsynsbegäran.docx", "A 23860-2023")</f>
        <v/>
      </c>
      <c r="AD16">
        <f>HYPERLINK("https://klasma.github.io/Logging_1764/tillsynsmail/A 23860-2023 tillsynsbegäran mail.docx", "A 23860-2023")</f>
        <v/>
      </c>
      <c r="AE16">
        <f>HYPERLINK("https://klasma.github.io/Logging_1764/fåglar/A 23860-2023 prioriterade fågelarter.docx", "A 23860-2023")</f>
        <v/>
      </c>
    </row>
    <row r="17" ht="15" customHeight="1">
      <c r="A17" t="inlineStr">
        <is>
          <t>A 5280-2022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44593</v>
      </c>
      <c r="E17" s="1" t="n">
        <v>46324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37.1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1</v>
      </c>
      <c r="V17" s="2" t="inlineStr">
        <is>
          <t>Ask
Tjäder</t>
        </is>
      </c>
      <c r="W17">
        <f>HYPERLINK("https://klasma.github.io/Logging_1764/artfynd/A 5280-2022 artfynd.xlsx", "A 5280-2022")</f>
        <v/>
      </c>
      <c r="X17">
        <f>HYPERLINK("https://klasma.github.io/Logging_1764/kartor/A 5280-2022 karta.png", "A 5280-2022")</f>
        <v/>
      </c>
      <c r="Y17">
        <f>HYPERLINK("https://klasma.github.io/Logging_1764/kartor_geotiff/A 5280-2022 georefererad karta.tif", "A 5280-2022")</f>
        <v/>
      </c>
      <c r="AA17">
        <f>HYPERLINK("https://klasma.github.io/Logging_1764/klagomål/A 5280-2022 FSC-klagomål.docx", "A 5280-2022")</f>
        <v/>
      </c>
      <c r="AB17">
        <f>HYPERLINK("https://klasma.github.io/Logging_1764/klagomålsmail/A 5280-2022 FSC-klagomål mail.docx", "A 5280-2022")</f>
        <v/>
      </c>
      <c r="AC17">
        <f>HYPERLINK("https://klasma.github.io/Logging_1764/tillsyn/A 5280-2022 tillsynsbegäran.docx", "A 5280-2022")</f>
        <v/>
      </c>
      <c r="AD17">
        <f>HYPERLINK("https://klasma.github.io/Logging_1764/tillsynsmail/A 5280-2022 tillsynsbegäran mail.docx", "A 5280-2022")</f>
        <v/>
      </c>
      <c r="AE17">
        <f>HYPERLINK("https://klasma.github.io/Logging_1764/fåglar/A 5280-2022 prioriterade fågelarter.docx", "A 5280-2022")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46324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A 57233-2023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45245</v>
      </c>
      <c r="E19" s="1" t="n">
        <v>46324</v>
      </c>
      <c r="F19" t="inlineStr">
        <is>
          <t>VÄRMLANDS LÄN</t>
        </is>
      </c>
      <c r="G19" t="inlineStr">
        <is>
          <t>GRUMS</t>
        </is>
      </c>
      <c r="I19" t="n">
        <v>1.4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Jungfrulin
Skogsklocka</t>
        </is>
      </c>
      <c r="W19">
        <f>HYPERLINK("https://klasma.github.io/Logging_1764/artfynd/A 57233-2023 artfynd.xlsx", "A 57233-2023")</f>
        <v/>
      </c>
      <c r="X19">
        <f>HYPERLINK("https://klasma.github.io/Logging_1764/kartor/A 57233-2023 karta.png", "A 57233-2023")</f>
        <v/>
      </c>
      <c r="Y19">
        <f>HYPERLINK("https://klasma.github.io/Logging_1764/kartor_geotiff/A 57233-2023 georefererad karta.tif", "A 57233-2023")</f>
        <v/>
      </c>
      <c r="AA19">
        <f>HYPERLINK("https://klasma.github.io/Logging_1764/klagomål/A 57233-2023 FSC-klagomål.docx", "A 57233-2023")</f>
        <v/>
      </c>
      <c r="AB19">
        <f>HYPERLINK("https://klasma.github.io/Logging_1764/klagomålsmail/A 57233-2023 FSC-klagomål mail.docx", "A 57233-2023")</f>
        <v/>
      </c>
      <c r="AC19">
        <f>HYPERLINK("https://klasma.github.io/Logging_1764/tillsyn/A 57233-2023 tillsynsbegäran.docx", "A 57233-2023")</f>
        <v/>
      </c>
      <c r="AD19">
        <f>HYPERLINK("https://klasma.github.io/Logging_1764/tillsynsmail/A 57233-2023 tillsynsbegäran mail.docx", "A 57233-2023")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46324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46324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46324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46324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19052-2024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45427</v>
      </c>
      <c r="E24" s="1" t="n">
        <v>46324</v>
      </c>
      <c r="F24" t="inlineStr">
        <is>
          <t>VÄRMLANDS LÄN</t>
        </is>
      </c>
      <c r="G24" t="inlineStr">
        <is>
          <t>GRUMS</t>
        </is>
      </c>
      <c r="I24" t="n">
        <v>7.7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Skogsalm</t>
        </is>
      </c>
      <c r="W24">
        <f>HYPERLINK("https://klasma.github.io/Logging_1764/artfynd/A 19052-2024 artfynd.xlsx", "A 19052-2024")</f>
        <v/>
      </c>
      <c r="X24">
        <f>HYPERLINK("https://klasma.github.io/Logging_1764/kartor/A 19052-2024 karta.png", "A 19052-2024")</f>
        <v/>
      </c>
      <c r="Y24">
        <f>HYPERLINK("https://klasma.github.io/Logging_1764/kartor_geotiff/A 19052-2024 georefererad karta.tif", "A 19052-2024")</f>
        <v/>
      </c>
      <c r="AA24">
        <f>HYPERLINK("https://klasma.github.io/Logging_1764/klagomål/A 19052-2024 FSC-klagomål.docx", "A 19052-2024")</f>
        <v/>
      </c>
      <c r="AB24">
        <f>HYPERLINK("https://klasma.github.io/Logging_1764/klagomålsmail/A 19052-2024 FSC-klagomål mail.docx", "A 19052-2024")</f>
        <v/>
      </c>
      <c r="AC24">
        <f>HYPERLINK("https://klasma.github.io/Logging_1764/tillsyn/A 19052-2024 tillsynsbegäran.docx", "A 19052-2024")</f>
        <v/>
      </c>
      <c r="AD24">
        <f>HYPERLINK("https://klasma.github.io/Logging_1764/tillsynsmail/A 19052-2024 tillsynsbegäran mail.docx", "A 19052-2024")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46324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46324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37339-2022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44806</v>
      </c>
      <c r="E28" s="1" t="n">
        <v>46324</v>
      </c>
      <c r="F28" t="inlineStr">
        <is>
          <t>VÄRMLANDS LÄN</t>
        </is>
      </c>
      <c r="G28" t="inlineStr">
        <is>
          <t>GRUMS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37339-2022 artfynd.xlsx", "A 37339-2022")</f>
        <v/>
      </c>
      <c r="X28">
        <f>HYPERLINK("https://klasma.github.io/Logging_1764/kartor/A 37339-2022 karta.png", "A 37339-2022")</f>
        <v/>
      </c>
      <c r="Y28">
        <f>HYPERLINK("https://klasma.github.io/Logging_1764/kartor_geotiff/A 37339-2022 georefererad karta.tif", "A 37339-2022")</f>
        <v/>
      </c>
      <c r="AA28">
        <f>HYPERLINK("https://klasma.github.io/Logging_1764/klagomål/A 37339-2022 FSC-klagomål.docx", "A 37339-2022")</f>
        <v/>
      </c>
      <c r="AB28">
        <f>HYPERLINK("https://klasma.github.io/Logging_1764/klagomålsmail/A 37339-2022 FSC-klagomål mail.docx", "A 37339-2022")</f>
        <v/>
      </c>
      <c r="AC28">
        <f>HYPERLINK("https://klasma.github.io/Logging_1764/tillsyn/A 37339-2022 tillsynsbegäran.docx", "A 37339-2022")</f>
        <v/>
      </c>
      <c r="AD28">
        <f>HYPERLINK("https://klasma.github.io/Logging_1764/tillsynsmail/A 37339-2022 tillsynsbegäran mail.docx", "A 37339-2022")</f>
        <v/>
      </c>
    </row>
    <row r="29" ht="15" customHeight="1">
      <c r="A29" t="inlineStr">
        <is>
          <t>A 8363-2025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46324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Mandelriska</t>
        </is>
      </c>
      <c r="W29">
        <f>HYPERLINK("https://klasma.github.io/Logging_1764/artfynd/A 8363-2025 artfynd.xlsx", "A 8363-2025")</f>
        <v/>
      </c>
      <c r="X29">
        <f>HYPERLINK("https://klasma.github.io/Logging_1764/kartor/A 8363-2025 karta.png", "A 8363-2025")</f>
        <v/>
      </c>
      <c r="Y29">
        <f>HYPERLINK("https://klasma.github.io/Logging_1764/kartor_geotiff/A 8363-2025 georefererad karta.tif", "A 8363-2025")</f>
        <v/>
      </c>
      <c r="AA29">
        <f>HYPERLINK("https://klasma.github.io/Logging_1764/klagomål/A 8363-2025 FSC-klagomål.docx", "A 8363-2025")</f>
        <v/>
      </c>
      <c r="AB29">
        <f>HYPERLINK("https://klasma.github.io/Logging_1764/klagomålsmail/A 8363-2025 FSC-klagomål mail.docx", "A 8363-2025")</f>
        <v/>
      </c>
      <c r="AC29">
        <f>HYPERLINK("https://klasma.github.io/Logging_1764/tillsyn/A 8363-2025 tillsynsbegäran.docx", "A 8363-2025")</f>
        <v/>
      </c>
      <c r="AD29">
        <f>HYPERLINK("https://klasma.github.io/Logging_1764/tillsynsmail/A 8363-2025 tillsynsbegäran mail.docx", "A 8363-2025")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46324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46324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35077-2024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46324</v>
      </c>
      <c r="F32" t="inlineStr">
        <is>
          <t>VÄRMLANDS LÄN</t>
        </is>
      </c>
      <c r="G32" t="inlineStr">
        <is>
          <t>GRUMS</t>
        </is>
      </c>
      <c r="I32" t="n">
        <v>2.1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HYPERLINK("https://klasma.github.io/Logging_1764/artfynd/A 35077-2024 artfynd.xlsx", "A 35077-2024")</f>
        <v/>
      </c>
      <c r="X32">
        <f>HYPERLINK("https://klasma.github.io/Logging_1764/kartor/A 35077-2024 karta.png", "A 35077-2024")</f>
        <v/>
      </c>
      <c r="Y32">
        <f>HYPERLINK("https://klasma.github.io/Logging_1764/kartor_geotiff/A 35077-2024 georefererad karta.tif", "A 35077-2024")</f>
        <v/>
      </c>
      <c r="Z32">
        <f>HYPERLINK("https://klasma.github.io/Logging_1764/knärot/A 35077-2024 karta knärot.png", "A 35077-2024")</f>
        <v/>
      </c>
      <c r="AA32">
        <f>HYPERLINK("https://klasma.github.io/Logging_1764/klagomål/A 35077-2024 FSC-klagomål.docx", "A 35077-2024")</f>
        <v/>
      </c>
      <c r="AB32">
        <f>HYPERLINK("https://klasma.github.io/Logging_1764/klagomålsmail/A 35077-2024 FSC-klagomål mail.docx", "A 35077-2024")</f>
        <v/>
      </c>
      <c r="AC32">
        <f>HYPERLINK("https://klasma.github.io/Logging_1764/tillsyn/A 35077-2024 tillsynsbegäran.docx", "A 35077-2024")</f>
        <v/>
      </c>
      <c r="AD32">
        <f>HYPERLINK("https://klasma.github.io/Logging_1764/tillsynsmail/A 35077-2024 tillsynsbegäran mail.docx", "A 35077-2024")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46324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46324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46324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46324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46324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10647-2024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45368</v>
      </c>
      <c r="E38" s="1" t="n">
        <v>46324</v>
      </c>
      <c r="F38" t="inlineStr">
        <is>
          <t>VÄRMLANDS LÄN</t>
        </is>
      </c>
      <c r="G38" t="inlineStr">
        <is>
          <t>GRUMS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Kråka</t>
        </is>
      </c>
      <c r="W38">
        <f>HYPERLINK("https://klasma.github.io/Logging_1764/artfynd/A 10647-2024 artfynd.xlsx", "A 10647-2024")</f>
        <v/>
      </c>
      <c r="X38">
        <f>HYPERLINK("https://klasma.github.io/Logging_1764/kartor/A 10647-2024 karta.png", "A 10647-2024")</f>
        <v/>
      </c>
      <c r="Y38">
        <f>HYPERLINK("https://klasma.github.io/Logging_1764/kartor_geotiff/A 10647-2024 georefererad karta.tif", "A 10647-2024")</f>
        <v/>
      </c>
      <c r="AA38">
        <f>HYPERLINK("https://klasma.github.io/Logging_1764/klagomål/A 10647-2024 FSC-klagomål.docx", "A 10647-2024")</f>
        <v/>
      </c>
      <c r="AB38">
        <f>HYPERLINK("https://klasma.github.io/Logging_1764/klagomålsmail/A 10647-2024 FSC-klagomål mail.docx", "A 10647-2024")</f>
        <v/>
      </c>
      <c r="AC38">
        <f>HYPERLINK("https://klasma.github.io/Logging_1764/tillsyn/A 10647-2024 tillsynsbegäran.docx", "A 10647-2024")</f>
        <v/>
      </c>
      <c r="AD38">
        <f>HYPERLINK("https://klasma.github.io/Logging_1764/tillsynsmail/A 10647-2024 tillsynsbegäran mail.docx", "A 10647-2024")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46324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46324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46324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46324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46324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32443-2022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46324</v>
      </c>
      <c r="F44" t="inlineStr">
        <is>
          <t>VÄRMLANDS LÄN</t>
        </is>
      </c>
      <c r="G44" t="inlineStr">
        <is>
          <t>GRUMS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46324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46324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46324</v>
      </c>
      <c r="F47" t="inlineStr">
        <is>
          <t>VÄRMLANDS LÄN</t>
        </is>
      </c>
      <c r="G47" t="inlineStr">
        <is>
          <t>GRUMS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43806-2022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44838</v>
      </c>
      <c r="E48" s="1" t="n">
        <v>46324</v>
      </c>
      <c r="F48" t="inlineStr">
        <is>
          <t>VÄRMLANDS LÄN</t>
        </is>
      </c>
      <c r="G48" t="inlineStr">
        <is>
          <t>GRUMS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44690</v>
      </c>
      <c r="E49" s="1" t="n">
        <v>46324</v>
      </c>
      <c r="F49" t="inlineStr">
        <is>
          <t>VÄRMLANDS LÄN</t>
        </is>
      </c>
      <c r="G49" t="inlineStr">
        <is>
          <t>GRUMS</t>
        </is>
      </c>
      <c r="H49" t="inlineStr">
        <is>
          <t>Bergvik skog väst AB</t>
        </is>
      </c>
      <c r="I49" t="n">
        <v>11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46324</v>
      </c>
      <c r="F50" t="inlineStr">
        <is>
          <t>VÄRMLANDS LÄN</t>
        </is>
      </c>
      <c r="G50" t="inlineStr">
        <is>
          <t>GRUMS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44694</v>
      </c>
      <c r="E51" s="1" t="n">
        <v>46324</v>
      </c>
      <c r="F51" t="inlineStr">
        <is>
          <t>VÄRMLANDS LÄN</t>
        </is>
      </c>
      <c r="G51" t="inlineStr">
        <is>
          <t>GRUMS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27729-2022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46324</v>
      </c>
      <c r="F52" t="inlineStr">
        <is>
          <t>VÄRMLANDS LÄN</t>
        </is>
      </c>
      <c r="G52" t="inlineStr">
        <is>
          <t>GRUMS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46324</v>
      </c>
      <c r="F53" t="inlineStr">
        <is>
          <t>VÄRMLANDS LÄN</t>
        </is>
      </c>
      <c r="G53" t="inlineStr">
        <is>
          <t>GRUMS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61306-2021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44498</v>
      </c>
      <c r="E54" s="1" t="n">
        <v>46324</v>
      </c>
      <c r="F54" t="inlineStr">
        <is>
          <t>VÄRMLANDS LÄN</t>
        </is>
      </c>
      <c r="G54" t="inlineStr">
        <is>
          <t>GRUMS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46324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44762</v>
      </c>
      <c r="E56" s="1" t="n">
        <v>46324</v>
      </c>
      <c r="F56" t="inlineStr">
        <is>
          <t>VÄRMLANDS LÄN</t>
        </is>
      </c>
      <c r="G56" t="inlineStr">
        <is>
          <t>GRUMS</t>
        </is>
      </c>
      <c r="I56" t="n">
        <v>10.2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46324</v>
      </c>
      <c r="F57" t="inlineStr">
        <is>
          <t>VÄRMLANDS LÄN</t>
        </is>
      </c>
      <c r="G57" t="inlineStr">
        <is>
          <t>GRUMS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44627</v>
      </c>
      <c r="E58" s="1" t="n">
        <v>46324</v>
      </c>
      <c r="F58" t="inlineStr">
        <is>
          <t>VÄRMLANDS LÄN</t>
        </is>
      </c>
      <c r="G58" t="inlineStr">
        <is>
          <t>GRUMS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44755</v>
      </c>
      <c r="E59" s="1" t="n">
        <v>46324</v>
      </c>
      <c r="F59" t="inlineStr">
        <is>
          <t>VÄRMLANDS LÄN</t>
        </is>
      </c>
      <c r="G59" t="inlineStr">
        <is>
          <t>GRUMS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30334-2022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44760</v>
      </c>
      <c r="E60" s="1" t="n">
        <v>46324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44547</v>
      </c>
      <c r="E61" s="1" t="n">
        <v>46324</v>
      </c>
      <c r="F61" t="inlineStr">
        <is>
          <t>VÄRMLANDS LÄN</t>
        </is>
      </c>
      <c r="G61" t="inlineStr">
        <is>
          <t>GRUMS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46324</v>
      </c>
      <c r="F62" t="inlineStr">
        <is>
          <t>VÄRMLANDS LÄN</t>
        </is>
      </c>
      <c r="G62" t="inlineStr">
        <is>
          <t>GRUMS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6938-2024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45343</v>
      </c>
      <c r="E63" s="1" t="n">
        <v>46324</v>
      </c>
      <c r="F63" t="inlineStr">
        <is>
          <t>VÄRMLANDS LÄN</t>
        </is>
      </c>
      <c r="G63" t="inlineStr">
        <is>
          <t>GRUMS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46324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46324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45011</v>
      </c>
      <c r="E66" s="1" t="n">
        <v>46324</v>
      </c>
      <c r="F66" t="inlineStr">
        <is>
          <t>VÄRMLANDS LÄN</t>
        </is>
      </c>
      <c r="G66" t="inlineStr">
        <is>
          <t>GRUMS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46324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46324</v>
      </c>
      <c r="F68" t="inlineStr">
        <is>
          <t>VÄRMLANDS LÄN</t>
        </is>
      </c>
      <c r="G68" t="inlineStr">
        <is>
          <t>GRUMS</t>
        </is>
      </c>
      <c r="I68" t="n">
        <v>14.3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46324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73901-2021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46324</v>
      </c>
      <c r="F70" t="inlineStr">
        <is>
          <t>VÄRMLANDS LÄN</t>
        </is>
      </c>
      <c r="G70" t="inlineStr">
        <is>
          <t>GRUMS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46324</v>
      </c>
      <c r="F71" t="inlineStr">
        <is>
          <t>VÄRMLANDS LÄN</t>
        </is>
      </c>
      <c r="G71" t="inlineStr">
        <is>
          <t>GRUMS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46324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46324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27222-2023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46324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46324</v>
      </c>
      <c r="F75" t="inlineStr">
        <is>
          <t>VÄRMLANDS LÄN</t>
        </is>
      </c>
      <c r="G75" t="inlineStr">
        <is>
          <t>GRUMS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46324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46324</v>
      </c>
      <c r="F77" t="inlineStr">
        <is>
          <t>VÄRMLANDS LÄN</t>
        </is>
      </c>
      <c r="G77" t="inlineStr">
        <is>
          <t>GRUMS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45153</v>
      </c>
      <c r="E78" s="1" t="n">
        <v>46324</v>
      </c>
      <c r="F78" t="inlineStr">
        <is>
          <t>VÄRMLANDS LÄN</t>
        </is>
      </c>
      <c r="G78" t="inlineStr">
        <is>
          <t>GRUMS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46324</v>
      </c>
      <c r="F79" t="inlineStr">
        <is>
          <t>VÄRMLANDS LÄN</t>
        </is>
      </c>
      <c r="G79" t="inlineStr">
        <is>
          <t>GRUMS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44924</v>
      </c>
      <c r="E80" s="1" t="n">
        <v>46324</v>
      </c>
      <c r="F80" t="inlineStr">
        <is>
          <t>VÄRMLANDS LÄN</t>
        </is>
      </c>
      <c r="G80" t="inlineStr">
        <is>
          <t>GRUMS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46324</v>
      </c>
      <c r="F81" t="inlineStr">
        <is>
          <t>VÄRMLANDS LÄN</t>
        </is>
      </c>
      <c r="G81" t="inlineStr">
        <is>
          <t>GRUMS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46324</v>
      </c>
      <c r="F82" t="inlineStr">
        <is>
          <t>VÄRMLANDS LÄN</t>
        </is>
      </c>
      <c r="G82" t="inlineStr">
        <is>
          <t>GRUMS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45061</v>
      </c>
      <c r="E83" s="1" t="n">
        <v>46324</v>
      </c>
      <c r="F83" t="inlineStr">
        <is>
          <t>VÄRMLANDS LÄN</t>
        </is>
      </c>
      <c r="G83" t="inlineStr">
        <is>
          <t>GRUMS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46324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46324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46324</v>
      </c>
      <c r="F86" t="inlineStr">
        <is>
          <t>VÄRMLANDS LÄN</t>
        </is>
      </c>
      <c r="G86" t="inlineStr">
        <is>
          <t>GRUMS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46324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45152</v>
      </c>
      <c r="E88" s="1" t="n">
        <v>46324</v>
      </c>
      <c r="F88" t="inlineStr">
        <is>
          <t>VÄRMLANDS LÄN</t>
        </is>
      </c>
      <c r="G88" t="inlineStr">
        <is>
          <t>GRUMS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46324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14.4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46324</v>
      </c>
      <c r="F90" t="inlineStr">
        <is>
          <t>VÄRMLANDS LÄN</t>
        </is>
      </c>
      <c r="G90" t="inlineStr">
        <is>
          <t>GRUMS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46324</v>
      </c>
      <c r="F91" t="inlineStr">
        <is>
          <t>VÄRMLANDS LÄN</t>
        </is>
      </c>
      <c r="G91" t="inlineStr">
        <is>
          <t>GRUMS</t>
        </is>
      </c>
      <c r="I91" t="n">
        <v>18.2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46324</v>
      </c>
      <c r="F92" t="inlineStr">
        <is>
          <t>VÄRMLANDS LÄN</t>
        </is>
      </c>
      <c r="G92" t="inlineStr">
        <is>
          <t>GRUMS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46324</v>
      </c>
      <c r="F93" t="inlineStr">
        <is>
          <t>VÄRMLANDS LÄN</t>
        </is>
      </c>
      <c r="G93" t="inlineStr">
        <is>
          <t>GRUMS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46324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46324</v>
      </c>
      <c r="F95" t="inlineStr">
        <is>
          <t>VÄRMLANDS LÄN</t>
        </is>
      </c>
      <c r="G95" t="inlineStr">
        <is>
          <t>GRUMS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46324</v>
      </c>
      <c r="F96" t="inlineStr">
        <is>
          <t>VÄRMLANDS LÄN</t>
        </is>
      </c>
      <c r="G96" t="inlineStr">
        <is>
          <t>GRUMS</t>
        </is>
      </c>
      <c r="I96" t="n">
        <v>8.6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44963</v>
      </c>
      <c r="E97" s="1" t="n">
        <v>46324</v>
      </c>
      <c r="F97" t="inlineStr">
        <is>
          <t>VÄRMLANDS LÄN</t>
        </is>
      </c>
      <c r="G97" t="inlineStr">
        <is>
          <t>GRUMS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46324</v>
      </c>
      <c r="F98" t="inlineStr">
        <is>
          <t>VÄRMLANDS LÄN</t>
        </is>
      </c>
      <c r="G98" t="inlineStr">
        <is>
          <t>GRUMS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46324</v>
      </c>
      <c r="F99" t="inlineStr">
        <is>
          <t>VÄRMLANDS LÄN</t>
        </is>
      </c>
      <c r="G99" t="inlineStr">
        <is>
          <t>GRUMS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46324</v>
      </c>
      <c r="F100" t="inlineStr">
        <is>
          <t>VÄRMLANDS LÄN</t>
        </is>
      </c>
      <c r="G100" t="inlineStr">
        <is>
          <t>GRUMS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46324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46324</v>
      </c>
      <c r="F102" t="inlineStr">
        <is>
          <t>VÄRMLANDS LÄN</t>
        </is>
      </c>
      <c r="G102" t="inlineStr">
        <is>
          <t>GRUMS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46324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46324</v>
      </c>
      <c r="F104" t="inlineStr">
        <is>
          <t>VÄRMLANDS LÄN</t>
        </is>
      </c>
      <c r="G104" t="inlineStr">
        <is>
          <t>GRUMS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45836</v>
      </c>
      <c r="E105" s="1" t="n">
        <v>46324</v>
      </c>
      <c r="F105" t="inlineStr">
        <is>
          <t>VÄRMLANDS LÄN</t>
        </is>
      </c>
      <c r="G105" t="inlineStr">
        <is>
          <t>GRUMS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26840-2023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46324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45762</v>
      </c>
      <c r="E107" s="1" t="n">
        <v>46324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46324</v>
      </c>
      <c r="F108" t="inlineStr">
        <is>
          <t>VÄRMLANDS LÄN</t>
        </is>
      </c>
      <c r="G108" t="inlineStr">
        <is>
          <t>GRUMS</t>
        </is>
      </c>
      <c r="H108" t="inlineStr">
        <is>
          <t>Bergvik skog väst AB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29724-2023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45107</v>
      </c>
      <c r="E109" s="1" t="n">
        <v>46324</v>
      </c>
      <c r="F109" t="inlineStr">
        <is>
          <t>VÄRMLANDS LÄN</t>
        </is>
      </c>
      <c r="G109" t="inlineStr">
        <is>
          <t>GRUMS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46324</v>
      </c>
      <c r="F110" t="inlineStr">
        <is>
          <t>VÄRMLANDS LÄN</t>
        </is>
      </c>
      <c r="G110" t="inlineStr">
        <is>
          <t>GRUMS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46324</v>
      </c>
      <c r="F111" t="inlineStr">
        <is>
          <t>VÄRMLANDS LÄN</t>
        </is>
      </c>
      <c r="G111" t="inlineStr">
        <is>
          <t>GRUMS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46324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46324</v>
      </c>
      <c r="F113" t="inlineStr">
        <is>
          <t>VÄRMLANDS LÄN</t>
        </is>
      </c>
      <c r="G113" t="inlineStr">
        <is>
          <t>GRUMS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45432</v>
      </c>
      <c r="E114" s="1" t="n">
        <v>46324</v>
      </c>
      <c r="F114" t="inlineStr">
        <is>
          <t>VÄRMLANDS LÄN</t>
        </is>
      </c>
      <c r="G114" t="inlineStr">
        <is>
          <t>GRUMS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16635-2024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45408</v>
      </c>
      <c r="E115" s="1" t="n">
        <v>46324</v>
      </c>
      <c r="F115" t="inlineStr">
        <is>
          <t>VÄRMLANDS LÄN</t>
        </is>
      </c>
      <c r="G115" t="inlineStr">
        <is>
          <t>GRUMS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46324</v>
      </c>
      <c r="F116" t="inlineStr">
        <is>
          <t>VÄRMLANDS LÄN</t>
        </is>
      </c>
      <c r="G116" t="inlineStr">
        <is>
          <t>GRUMS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46324</v>
      </c>
      <c r="F117" t="inlineStr">
        <is>
          <t>VÄRMLANDS LÄN</t>
        </is>
      </c>
      <c r="G117" t="inlineStr">
        <is>
          <t>GRUMS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46324</v>
      </c>
      <c r="F118" t="inlineStr">
        <is>
          <t>VÄRMLANDS LÄN</t>
        </is>
      </c>
      <c r="G118" t="inlineStr">
        <is>
          <t>GRUMS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46324</v>
      </c>
      <c r="F119" t="inlineStr">
        <is>
          <t>VÄRMLANDS LÄN</t>
        </is>
      </c>
      <c r="G119" t="inlineStr">
        <is>
          <t>GRUMS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46324</v>
      </c>
      <c r="F120" t="inlineStr">
        <is>
          <t>VÄRMLANDS LÄN</t>
        </is>
      </c>
      <c r="G120" t="inlineStr">
        <is>
          <t>GRUMS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46324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46324</v>
      </c>
      <c r="F122" t="inlineStr">
        <is>
          <t>VÄRMLANDS LÄN</t>
        </is>
      </c>
      <c r="G122" t="inlineStr">
        <is>
          <t>GRUMS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45956</v>
      </c>
      <c r="E123" s="1" t="n">
        <v>46324</v>
      </c>
      <c r="F123" t="inlineStr">
        <is>
          <t>VÄRMLANDS LÄN</t>
        </is>
      </c>
      <c r="G123" t="inlineStr">
        <is>
          <t>GRUMS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45956</v>
      </c>
      <c r="E124" s="1" t="n">
        <v>46324</v>
      </c>
      <c r="F124" t="inlineStr">
        <is>
          <t>VÄRMLANDS LÄN</t>
        </is>
      </c>
      <c r="G124" t="inlineStr">
        <is>
          <t>GRUMS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46324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46324</v>
      </c>
      <c r="F126" t="inlineStr">
        <is>
          <t>VÄRMLANDS LÄN</t>
        </is>
      </c>
      <c r="G126" t="inlineStr">
        <is>
          <t>GRUMS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45124</v>
      </c>
      <c r="E127" s="1" t="n">
        <v>46324</v>
      </c>
      <c r="F127" t="inlineStr">
        <is>
          <t>VÄRMLANDS LÄN</t>
        </is>
      </c>
      <c r="G127" t="inlineStr">
        <is>
          <t>GRUMS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46324</v>
      </c>
      <c r="F128" t="inlineStr">
        <is>
          <t>VÄRMLANDS LÄN</t>
        </is>
      </c>
      <c r="G128" t="inlineStr">
        <is>
          <t>GRUMS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55227-2023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46324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46324</v>
      </c>
      <c r="F130" t="inlineStr">
        <is>
          <t>VÄRMLANDS LÄN</t>
        </is>
      </c>
      <c r="G130" t="inlineStr">
        <is>
          <t>GRUMS</t>
        </is>
      </c>
      <c r="I130" t="n">
        <v>12.8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46324</v>
      </c>
      <c r="F131" t="inlineStr">
        <is>
          <t>VÄRMLANDS LÄN</t>
        </is>
      </c>
      <c r="G131" t="inlineStr">
        <is>
          <t>GRUMS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46324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46324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46324</v>
      </c>
      <c r="F134" t="inlineStr">
        <is>
          <t>VÄRMLANDS LÄN</t>
        </is>
      </c>
      <c r="G134" t="inlineStr">
        <is>
          <t>GRUMS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46324</v>
      </c>
      <c r="F135" t="inlineStr">
        <is>
          <t>VÄRMLANDS LÄN</t>
        </is>
      </c>
      <c r="G135" t="inlineStr">
        <is>
          <t>GRUMS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64304-2023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45280</v>
      </c>
      <c r="E136" s="1" t="n">
        <v>46324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46324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46324</v>
      </c>
      <c r="F138" t="inlineStr">
        <is>
          <t>VÄRMLANDS LÄN</t>
        </is>
      </c>
      <c r="G138" t="inlineStr">
        <is>
          <t>GRUMS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45411</v>
      </c>
      <c r="E139" s="1" t="n">
        <v>46324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45089</v>
      </c>
      <c r="E140" s="1" t="n">
        <v>46324</v>
      </c>
      <c r="F140" t="inlineStr">
        <is>
          <t>VÄRMLANDS LÄN</t>
        </is>
      </c>
      <c r="G140" t="inlineStr">
        <is>
          <t>GRUMS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46324</v>
      </c>
      <c r="F141" t="inlineStr">
        <is>
          <t>VÄRMLANDS LÄN</t>
        </is>
      </c>
      <c r="G141" t="inlineStr">
        <is>
          <t>GRUMS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66056-2021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46324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46324</v>
      </c>
      <c r="F143" t="inlineStr">
        <is>
          <t>VÄRMLANDS LÄN</t>
        </is>
      </c>
      <c r="G143" t="inlineStr">
        <is>
          <t>GRUMS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46324</v>
      </c>
      <c r="F144" t="inlineStr">
        <is>
          <t>VÄRMLANDS LÄN</t>
        </is>
      </c>
      <c r="G144" t="inlineStr">
        <is>
          <t>GRUMS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46324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7991-2024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45350</v>
      </c>
      <c r="E146" s="1" t="n">
        <v>46324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71903-2021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46324</v>
      </c>
      <c r="F147" t="inlineStr">
        <is>
          <t>VÄRMLANDS LÄN</t>
        </is>
      </c>
      <c r="G147" t="inlineStr">
        <is>
          <t>GRUMS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46324</v>
      </c>
      <c r="F148" t="inlineStr">
        <is>
          <t>VÄRMLANDS LÄN</t>
        </is>
      </c>
      <c r="G148" t="inlineStr">
        <is>
          <t>GRUMS</t>
        </is>
      </c>
      <c r="H148" t="inlineStr">
        <is>
          <t>BillerudKorsnäs AB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46324</v>
      </c>
      <c r="F149" t="inlineStr">
        <is>
          <t>VÄRMLANDS LÄN</t>
        </is>
      </c>
      <c r="G149" t="inlineStr">
        <is>
          <t>GRUMS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59542-2022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46324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46324</v>
      </c>
      <c r="F151" t="inlineStr">
        <is>
          <t>VÄRMLANDS LÄN</t>
        </is>
      </c>
      <c r="G151" t="inlineStr">
        <is>
          <t>GRUMS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46324</v>
      </c>
      <c r="F152" t="inlineStr">
        <is>
          <t>VÄRMLANDS LÄN</t>
        </is>
      </c>
      <c r="G152" t="inlineStr">
        <is>
          <t>GRUMS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46324</v>
      </c>
      <c r="F153" t="inlineStr">
        <is>
          <t>VÄRMLANDS LÄN</t>
        </is>
      </c>
      <c r="G153" t="inlineStr">
        <is>
          <t>GRUMS</t>
        </is>
      </c>
      <c r="H153" t="inlineStr">
        <is>
          <t>Kommuner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46164</v>
      </c>
      <c r="E154" s="1" t="n">
        <v>46324</v>
      </c>
      <c r="F154" t="inlineStr">
        <is>
          <t>VÄRMLANDS LÄN</t>
        </is>
      </c>
      <c r="G154" t="inlineStr">
        <is>
          <t>GRUMS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46324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46324</v>
      </c>
      <c r="F156" t="inlineStr">
        <is>
          <t>VÄRMLANDS LÄN</t>
        </is>
      </c>
      <c r="G156" t="inlineStr">
        <is>
          <t>GRUMS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46324</v>
      </c>
      <c r="F157" t="inlineStr">
        <is>
          <t>VÄRMLANDS LÄN</t>
        </is>
      </c>
      <c r="G157" t="inlineStr">
        <is>
          <t>GRUMS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46324</v>
      </c>
      <c r="F158" t="inlineStr">
        <is>
          <t>VÄRMLANDS LÄN</t>
        </is>
      </c>
      <c r="G158" t="inlineStr">
        <is>
          <t>GRUMS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46324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46324</v>
      </c>
      <c r="F160" t="inlineStr">
        <is>
          <t>VÄRMLANDS LÄN</t>
        </is>
      </c>
      <c r="G160" t="inlineStr">
        <is>
          <t>GRUMS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73310-2021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44547</v>
      </c>
      <c r="E161" s="1" t="n">
        <v>46324</v>
      </c>
      <c r="F161" t="inlineStr">
        <is>
          <t>VÄRMLANDS LÄN</t>
        </is>
      </c>
      <c r="G161" t="inlineStr">
        <is>
          <t>GRUMS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46324</v>
      </c>
      <c r="F162" t="inlineStr">
        <is>
          <t>VÄRMLANDS LÄN</t>
        </is>
      </c>
      <c r="G162" t="inlineStr">
        <is>
          <t>GRUMS</t>
        </is>
      </c>
      <c r="H162" t="inlineStr">
        <is>
          <t>Bergvik skog väst AB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46324</v>
      </c>
      <c r="F163" t="inlineStr">
        <is>
          <t>VÄRMLANDS LÄN</t>
        </is>
      </c>
      <c r="G163" t="inlineStr">
        <is>
          <t>GRUMS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30527-2022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44762</v>
      </c>
      <c r="E164" s="1" t="n">
        <v>46324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46039</v>
      </c>
      <c r="E165" s="1" t="n">
        <v>46324</v>
      </c>
      <c r="F165" t="inlineStr">
        <is>
          <t>VÄRMLANDS LÄN</t>
        </is>
      </c>
      <c r="G165" t="inlineStr">
        <is>
          <t>GRUMS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46324</v>
      </c>
      <c r="F166" t="inlineStr">
        <is>
          <t>VÄRMLANDS LÄN</t>
        </is>
      </c>
      <c r="G166" t="inlineStr">
        <is>
          <t>GRUMS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46324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26015-2026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46181</v>
      </c>
      <c r="E168" s="1" t="n">
        <v>46324</v>
      </c>
      <c r="F168" t="inlineStr">
        <is>
          <t>VÄRMLANDS LÄN</t>
        </is>
      </c>
      <c r="G168" t="inlineStr">
        <is>
          <t>GRUMS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46324</v>
      </c>
      <c r="F169" t="inlineStr">
        <is>
          <t>VÄRMLANDS LÄN</t>
        </is>
      </c>
      <c r="G169" t="inlineStr">
        <is>
          <t>GRUMS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46324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46324</v>
      </c>
      <c r="F171" t="inlineStr">
        <is>
          <t>VÄRMLANDS LÄN</t>
        </is>
      </c>
      <c r="G171" t="inlineStr">
        <is>
          <t>GRUMS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46324</v>
      </c>
      <c r="F172" t="inlineStr">
        <is>
          <t>VÄRMLANDS LÄN</t>
        </is>
      </c>
      <c r="G172" t="inlineStr">
        <is>
          <t>GRUMS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46324</v>
      </c>
      <c r="F173" t="inlineStr">
        <is>
          <t>VÄRMLANDS LÄN</t>
        </is>
      </c>
      <c r="G173" t="inlineStr">
        <is>
          <t>GRUMS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46324</v>
      </c>
      <c r="F174" t="inlineStr">
        <is>
          <t>VÄRMLANDS LÄN</t>
        </is>
      </c>
      <c r="G174" t="inlineStr">
        <is>
          <t>GRUMS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46324</v>
      </c>
      <c r="F175" t="inlineStr">
        <is>
          <t>VÄRMLANDS LÄN</t>
        </is>
      </c>
      <c r="G175" t="inlineStr">
        <is>
          <t>GRUMS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44606</v>
      </c>
      <c r="E176" s="1" t="n">
        <v>46324</v>
      </c>
      <c r="F176" t="inlineStr">
        <is>
          <t>VÄRMLANDS LÄN</t>
        </is>
      </c>
      <c r="G176" t="inlineStr">
        <is>
          <t>GRUMS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45336</v>
      </c>
      <c r="E177" s="1" t="n">
        <v>46324</v>
      </c>
      <c r="F177" t="inlineStr">
        <is>
          <t>VÄRMLANDS LÄN</t>
        </is>
      </c>
      <c r="G177" t="inlineStr">
        <is>
          <t>GRUMS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46324</v>
      </c>
      <c r="F178" t="inlineStr">
        <is>
          <t>VÄRMLANDS LÄN</t>
        </is>
      </c>
      <c r="G178" t="inlineStr">
        <is>
          <t>GRUMS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46324</v>
      </c>
      <c r="F179" t="inlineStr">
        <is>
          <t>VÄRMLANDS LÄN</t>
        </is>
      </c>
      <c r="G179" t="inlineStr">
        <is>
          <t>GRUMS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45546</v>
      </c>
      <c r="E180" s="1" t="n">
        <v>46324</v>
      </c>
      <c r="F180" t="inlineStr">
        <is>
          <t>VÄRMLANDS LÄN</t>
        </is>
      </c>
      <c r="G180" t="inlineStr">
        <is>
          <t>GRUMS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46324</v>
      </c>
      <c r="F181" t="inlineStr">
        <is>
          <t>VÄRMLANDS LÄN</t>
        </is>
      </c>
      <c r="G181" t="inlineStr">
        <is>
          <t>GRUMS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44628</v>
      </c>
      <c r="E182" s="1" t="n">
        <v>46324</v>
      </c>
      <c r="F182" t="inlineStr">
        <is>
          <t>VÄRMLANDS LÄN</t>
        </is>
      </c>
      <c r="G182" t="inlineStr">
        <is>
          <t>GRUMS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46324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46202</v>
      </c>
      <c r="E184" s="1" t="n">
        <v>46324</v>
      </c>
      <c r="F184" t="inlineStr">
        <is>
          <t>VÄRMLANDS LÄN</t>
        </is>
      </c>
      <c r="G184" t="inlineStr">
        <is>
          <t>GRUMS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46324</v>
      </c>
      <c r="F185" t="inlineStr">
        <is>
          <t>VÄRMLANDS LÄN</t>
        </is>
      </c>
      <c r="G185" t="inlineStr">
        <is>
          <t>GRUMS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46087</v>
      </c>
      <c r="E186" s="1" t="n">
        <v>46324</v>
      </c>
      <c r="F186" t="inlineStr">
        <is>
          <t>VÄRMLANDS LÄN</t>
        </is>
      </c>
      <c r="G186" t="inlineStr">
        <is>
          <t>GRUMS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46324</v>
      </c>
      <c r="F187" t="inlineStr">
        <is>
          <t>VÄRMLANDS LÄN</t>
        </is>
      </c>
      <c r="G187" t="inlineStr">
        <is>
          <t>GRUMS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46324</v>
      </c>
      <c r="F188" t="inlineStr">
        <is>
          <t>VÄRMLANDS LÄN</t>
        </is>
      </c>
      <c r="G188" t="inlineStr">
        <is>
          <t>GRUMS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46324</v>
      </c>
      <c r="F189" t="inlineStr">
        <is>
          <t>VÄRMLANDS LÄN</t>
        </is>
      </c>
      <c r="G189" t="inlineStr">
        <is>
          <t>GRUMS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46324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45434</v>
      </c>
      <c r="E191" s="1" t="n">
        <v>46324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46324</v>
      </c>
      <c r="F192" t="inlineStr">
        <is>
          <t>VÄRMLANDS LÄN</t>
        </is>
      </c>
      <c r="G192" t="inlineStr">
        <is>
          <t>GRUMS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45427</v>
      </c>
      <c r="E193" s="1" t="n">
        <v>46324</v>
      </c>
      <c r="F193" t="inlineStr">
        <is>
          <t>VÄRMLANDS LÄN</t>
        </is>
      </c>
      <c r="G193" t="inlineStr">
        <is>
          <t>GRUMS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46324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46324</v>
      </c>
      <c r="F195" t="inlineStr">
        <is>
          <t>VÄRMLANDS LÄN</t>
        </is>
      </c>
      <c r="G195" t="inlineStr">
        <is>
          <t>GRUMS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46324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14688-2026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46101</v>
      </c>
      <c r="E197" s="1" t="n">
        <v>46324</v>
      </c>
      <c r="F197" t="inlineStr">
        <is>
          <t>VÄRMLANDS LÄN</t>
        </is>
      </c>
      <c r="G197" t="inlineStr">
        <is>
          <t>GRUMS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46324</v>
      </c>
      <c r="F198" t="inlineStr">
        <is>
          <t>VÄRMLANDS LÄN</t>
        </is>
      </c>
      <c r="G198" t="inlineStr">
        <is>
          <t>GRUMS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46324</v>
      </c>
      <c r="F199" t="inlineStr">
        <is>
          <t>VÄRMLANDS LÄN</t>
        </is>
      </c>
      <c r="G199" t="inlineStr">
        <is>
          <t>GRUMS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46324</v>
      </c>
      <c r="F200" t="inlineStr">
        <is>
          <t>VÄRMLANDS LÄN</t>
        </is>
      </c>
      <c r="G200" t="inlineStr">
        <is>
          <t>GRUMS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46324</v>
      </c>
      <c r="F201" t="inlineStr">
        <is>
          <t>VÄRMLANDS LÄN</t>
        </is>
      </c>
      <c r="G201" t="inlineStr">
        <is>
          <t>GRUMS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45484</v>
      </c>
      <c r="E202" s="1" t="n">
        <v>46324</v>
      </c>
      <c r="F202" t="inlineStr">
        <is>
          <t>VÄRMLANDS LÄN</t>
        </is>
      </c>
      <c r="G202" t="inlineStr">
        <is>
          <t>GRUMS</t>
        </is>
      </c>
      <c r="H202" t="inlineStr">
        <is>
          <t>Bergvik skog väst AB</t>
        </is>
      </c>
      <c r="I202" t="n">
        <v>10.1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46214</v>
      </c>
      <c r="E203" s="1" t="n">
        <v>46324</v>
      </c>
      <c r="F203" t="inlineStr">
        <is>
          <t>VÄRMLANDS LÄN</t>
        </is>
      </c>
      <c r="G203" t="inlineStr">
        <is>
          <t>GRUMS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44977</v>
      </c>
      <c r="E204" s="1" t="n">
        <v>46324</v>
      </c>
      <c r="F204" t="inlineStr">
        <is>
          <t>VÄRMLANDS LÄN</t>
        </is>
      </c>
      <c r="G204" t="inlineStr">
        <is>
          <t>GRUMS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46324</v>
      </c>
      <c r="F205" t="inlineStr">
        <is>
          <t>VÄRMLANDS LÄN</t>
        </is>
      </c>
      <c r="G205" t="inlineStr">
        <is>
          <t>GRUMS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45785</v>
      </c>
      <c r="E206" s="1" t="n">
        <v>46324</v>
      </c>
      <c r="F206" t="inlineStr">
        <is>
          <t>VÄRMLANDS LÄN</t>
        </is>
      </c>
      <c r="G206" t="inlineStr">
        <is>
          <t>GRUMS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22537-2025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45787</v>
      </c>
      <c r="E207" s="1" t="n">
        <v>46324</v>
      </c>
      <c r="F207" t="inlineStr">
        <is>
          <t>VÄRMLANDS LÄN</t>
        </is>
      </c>
      <c r="G207" t="inlineStr">
        <is>
          <t>GRUMS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46224</v>
      </c>
      <c r="E208" s="1" t="n">
        <v>46324</v>
      </c>
      <c r="F208" t="inlineStr">
        <is>
          <t>VÄRMLANDS LÄN</t>
        </is>
      </c>
      <c r="G208" t="inlineStr">
        <is>
          <t>GRUMS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46324</v>
      </c>
      <c r="F209" t="inlineStr">
        <is>
          <t>VÄRMLANDS LÄN</t>
        </is>
      </c>
      <c r="G209" t="inlineStr">
        <is>
          <t>GRUMS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46324</v>
      </c>
      <c r="F210" t="inlineStr">
        <is>
          <t>VÄRMLANDS LÄN</t>
        </is>
      </c>
      <c r="G210" t="inlineStr">
        <is>
          <t>GRUMS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46024</v>
      </c>
      <c r="E211" s="1" t="n">
        <v>46324</v>
      </c>
      <c r="F211" t="inlineStr">
        <is>
          <t>VÄRMLANDS LÄN</t>
        </is>
      </c>
      <c r="G211" t="inlineStr">
        <is>
          <t>GRUMS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46324</v>
      </c>
      <c r="F212" t="inlineStr">
        <is>
          <t>VÄRMLANDS LÄN</t>
        </is>
      </c>
      <c r="G212" t="inlineStr">
        <is>
          <t>GRUMS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46324</v>
      </c>
      <c r="F213" t="inlineStr">
        <is>
          <t>VÄRMLANDS LÄN</t>
        </is>
      </c>
      <c r="G213" t="inlineStr">
        <is>
          <t>GRUMS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46244</v>
      </c>
      <c r="E214" s="1" t="n">
        <v>46324</v>
      </c>
      <c r="F214" t="inlineStr">
        <is>
          <t>VÄRMLANDS LÄN</t>
        </is>
      </c>
      <c r="G214" t="inlineStr">
        <is>
          <t>GRUMS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46324</v>
      </c>
      <c r="F215" t="inlineStr">
        <is>
          <t>VÄRMLANDS LÄN</t>
        </is>
      </c>
      <c r="G215" t="inlineStr">
        <is>
          <t>GRUMS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45776</v>
      </c>
      <c r="E216" s="1" t="n">
        <v>46324</v>
      </c>
      <c r="F216" t="inlineStr">
        <is>
          <t>VÄRMLANDS LÄN</t>
        </is>
      </c>
      <c r="G216" t="inlineStr">
        <is>
          <t>GRUMS</t>
        </is>
      </c>
      <c r="I216" t="n">
        <v>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46324</v>
      </c>
      <c r="F217" t="inlineStr">
        <is>
          <t>VÄRMLANDS LÄN</t>
        </is>
      </c>
      <c r="G217" t="inlineStr">
        <is>
          <t>GRUMS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46324</v>
      </c>
      <c r="F218" t="inlineStr">
        <is>
          <t>VÄRMLANDS LÄN</t>
        </is>
      </c>
      <c r="G218" t="inlineStr">
        <is>
          <t>GRUMS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46324</v>
      </c>
      <c r="F219" t="inlineStr">
        <is>
          <t>VÄRMLANDS LÄN</t>
        </is>
      </c>
      <c r="G219" t="inlineStr">
        <is>
          <t>GRUMS</t>
        </is>
      </c>
      <c r="I219" t="n">
        <v>12.4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45896</v>
      </c>
      <c r="E220" s="1" t="n">
        <v>46324</v>
      </c>
      <c r="F220" t="inlineStr">
        <is>
          <t>VÄRMLANDS LÄN</t>
        </is>
      </c>
      <c r="G220" t="inlineStr">
        <is>
          <t>GRUMS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46324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46324</v>
      </c>
      <c r="F222" t="inlineStr">
        <is>
          <t>VÄRMLANDS LÄN</t>
        </is>
      </c>
      <c r="G222" t="inlineStr">
        <is>
          <t>GRUMS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45691</v>
      </c>
      <c r="E223" s="1" t="n">
        <v>46324</v>
      </c>
      <c r="F223" t="inlineStr">
        <is>
          <t>VÄRMLANDS LÄN</t>
        </is>
      </c>
      <c r="G223" t="inlineStr">
        <is>
          <t>GRUMS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45049</v>
      </c>
      <c r="E224" s="1" t="n">
        <v>46324</v>
      </c>
      <c r="F224" t="inlineStr">
        <is>
          <t>VÄRMLANDS LÄN</t>
        </is>
      </c>
      <c r="G224" t="inlineStr">
        <is>
          <t>GRUMS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46324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46324</v>
      </c>
      <c r="F226" t="inlineStr">
        <is>
          <t>VÄRMLANDS LÄN</t>
        </is>
      </c>
      <c r="G226" t="inlineStr">
        <is>
          <t>GRUMS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62896-2023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46324</v>
      </c>
      <c r="F227" t="inlineStr">
        <is>
          <t>VÄRMLANDS LÄN</t>
        </is>
      </c>
      <c r="G227" t="inlineStr">
        <is>
          <t>GRUMS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69847-2021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46324</v>
      </c>
      <c r="F228" t="inlineStr">
        <is>
          <t>VÄRMLANDS LÄN</t>
        </is>
      </c>
      <c r="G228" t="inlineStr">
        <is>
          <t>GRUMS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46324</v>
      </c>
      <c r="F229" t="inlineStr">
        <is>
          <t>VÄRMLANDS LÄN</t>
        </is>
      </c>
      <c r="G229" t="inlineStr">
        <is>
          <t>GRUMS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46324</v>
      </c>
      <c r="F230" t="inlineStr">
        <is>
          <t>VÄRMLANDS LÄN</t>
        </is>
      </c>
      <c r="G230" t="inlineStr">
        <is>
          <t>GRUMS</t>
        </is>
      </c>
      <c r="H230" t="inlineStr">
        <is>
          <t>Bergvik skog väst AB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45070</v>
      </c>
      <c r="E231" s="1" t="n">
        <v>46324</v>
      </c>
      <c r="F231" t="inlineStr">
        <is>
          <t>VÄRMLANDS LÄN</t>
        </is>
      </c>
      <c r="G231" t="inlineStr">
        <is>
          <t>GRUMS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46300</v>
      </c>
      <c r="E232" s="1" t="n">
        <v>46324</v>
      </c>
      <c r="F232" t="inlineStr">
        <is>
          <t>VÄRMLANDS LÄN</t>
        </is>
      </c>
      <c r="G232" t="inlineStr">
        <is>
          <t>GRUMS</t>
        </is>
      </c>
      <c r="H232" t="inlineStr">
        <is>
          <t>Kommuner</t>
        </is>
      </c>
      <c r="I232" t="n">
        <v>20.8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33081-2022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44785</v>
      </c>
      <c r="E233" s="1" t="n">
        <v>46324</v>
      </c>
      <c r="F233" t="inlineStr">
        <is>
          <t>VÄRMLANDS LÄN</t>
        </is>
      </c>
      <c r="G233" t="inlineStr">
        <is>
          <t>GRUMS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46324</v>
      </c>
      <c r="F234" t="inlineStr">
        <is>
          <t>VÄRMLANDS LÄN</t>
        </is>
      </c>
      <c r="G234" t="inlineStr">
        <is>
          <t>GRUMS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37676-2023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45159</v>
      </c>
      <c r="E235" s="1" t="n">
        <v>46324</v>
      </c>
      <c r="F235" t="inlineStr">
        <is>
          <t>VÄRMLANDS LÄN</t>
        </is>
      </c>
      <c r="G235" t="inlineStr">
        <is>
          <t>GRUMS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46324</v>
      </c>
      <c r="F236" t="inlineStr">
        <is>
          <t>VÄRMLANDS LÄN</t>
        </is>
      </c>
      <c r="G236" t="inlineStr">
        <is>
          <t>GRUMS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46307</v>
      </c>
      <c r="E237" s="1" t="n">
        <v>46324</v>
      </c>
      <c r="F237" t="inlineStr">
        <is>
          <t>VÄRMLANDS LÄN</t>
        </is>
      </c>
      <c r="G237" t="inlineStr">
        <is>
          <t>GRUMS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46324</v>
      </c>
      <c r="F238" t="inlineStr">
        <is>
          <t>VÄRMLANDS LÄN</t>
        </is>
      </c>
      <c r="G238" t="inlineStr">
        <is>
          <t>GRUMS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44795</v>
      </c>
      <c r="E239" s="1" t="n">
        <v>46324</v>
      </c>
      <c r="F239" t="inlineStr">
        <is>
          <t>VÄRMLANDS LÄN</t>
        </is>
      </c>
      <c r="G239" t="inlineStr">
        <is>
          <t>GRUMS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44635</v>
      </c>
      <c r="E240" s="1" t="n">
        <v>46324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46324</v>
      </c>
      <c r="F241" t="inlineStr">
        <is>
          <t>VÄRMLANDS LÄN</t>
        </is>
      </c>
      <c r="G241" t="inlineStr">
        <is>
          <t>GRUMS</t>
        </is>
      </c>
      <c r="I241" t="n">
        <v>13.7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46324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46324</v>
      </c>
      <c r="F243" t="inlineStr">
        <is>
          <t>VÄRMLANDS LÄN</t>
        </is>
      </c>
      <c r="G243" t="inlineStr">
        <is>
          <t>GRUMS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46324</v>
      </c>
      <c r="F244" t="inlineStr">
        <is>
          <t>VÄRMLANDS LÄN</t>
        </is>
      </c>
      <c r="G244" t="inlineStr">
        <is>
          <t>GRUMS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31362-2024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45505</v>
      </c>
      <c r="E245" s="1" t="n">
        <v>46324</v>
      </c>
      <c r="F245" t="inlineStr">
        <is>
          <t>VÄRMLANDS LÄN</t>
        </is>
      </c>
      <c r="G245" t="inlineStr">
        <is>
          <t>GRUMS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42954-2026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46310</v>
      </c>
      <c r="E246" s="1" t="n">
        <v>46324</v>
      </c>
      <c r="F246" t="inlineStr">
        <is>
          <t>VÄRMLANDS LÄN</t>
        </is>
      </c>
      <c r="G246" t="inlineStr">
        <is>
          <t>GRUMS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46310</v>
      </c>
      <c r="E247" s="1" t="n">
        <v>46324</v>
      </c>
      <c r="F247" t="inlineStr">
        <is>
          <t>VÄRMLANDS LÄN</t>
        </is>
      </c>
      <c r="G247" t="inlineStr">
        <is>
          <t>GRUMS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45316</v>
      </c>
      <c r="E248" s="1" t="n">
        <v>46324</v>
      </c>
      <c r="F248" t="inlineStr">
        <is>
          <t>VÄRMLANDS LÄN</t>
        </is>
      </c>
      <c r="G248" t="inlineStr">
        <is>
          <t>GRUMS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46324</v>
      </c>
      <c r="F249" t="inlineStr">
        <is>
          <t>VÄRMLANDS LÄN</t>
        </is>
      </c>
      <c r="G249" t="inlineStr">
        <is>
          <t>GRUMS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46274</v>
      </c>
      <c r="E250" s="1" t="n">
        <v>46324</v>
      </c>
      <c r="F250" t="inlineStr">
        <is>
          <t>VÄRMLANDS LÄN</t>
        </is>
      </c>
      <c r="G250" t="inlineStr">
        <is>
          <t>GRUMS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37243-2026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46274</v>
      </c>
      <c r="E251" s="1" t="n">
        <v>46324</v>
      </c>
      <c r="F251" t="inlineStr">
        <is>
          <t>VÄRMLANDS LÄN</t>
        </is>
      </c>
      <c r="G251" t="inlineStr">
        <is>
          <t>GRUMS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46324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44845</v>
      </c>
      <c r="E253" s="1" t="n">
        <v>46324</v>
      </c>
      <c r="F253" t="inlineStr">
        <is>
          <t>VÄRMLANDS LÄN</t>
        </is>
      </c>
      <c r="G253" t="inlineStr">
        <is>
          <t>GRUMS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46324</v>
      </c>
      <c r="F254" t="inlineStr">
        <is>
          <t>VÄRMLANDS LÄN</t>
        </is>
      </c>
      <c r="G254" t="inlineStr">
        <is>
          <t>GRUMS</t>
        </is>
      </c>
      <c r="I254" t="n">
        <v>22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46324</v>
      </c>
      <c r="F255" t="inlineStr">
        <is>
          <t>VÄRMLANDS LÄN</t>
        </is>
      </c>
      <c r="G255" t="inlineStr">
        <is>
          <t>GRUMS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45358</v>
      </c>
      <c r="E256" s="1" t="n">
        <v>46324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46324</v>
      </c>
      <c r="F257" t="inlineStr">
        <is>
          <t>VÄRMLANDS LÄN</t>
        </is>
      </c>
      <c r="G257" t="inlineStr">
        <is>
          <t>GRUMS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46324</v>
      </c>
      <c r="F258" t="inlineStr">
        <is>
          <t>VÄRMLANDS LÄN</t>
        </is>
      </c>
      <c r="G258" t="inlineStr">
        <is>
          <t>GRUMS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45272</v>
      </c>
      <c r="E259" s="1" t="n">
        <v>46324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31930-2024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45510</v>
      </c>
      <c r="E260" s="1" t="n">
        <v>46324</v>
      </c>
      <c r="F260" t="inlineStr">
        <is>
          <t>VÄRMLANDS LÄN</t>
        </is>
      </c>
      <c r="G260" t="inlineStr">
        <is>
          <t>GRUMS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71706-2021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44543</v>
      </c>
      <c r="E261" s="1" t="n">
        <v>46324</v>
      </c>
      <c r="F261" t="inlineStr">
        <is>
          <t>VÄRMLANDS LÄN</t>
        </is>
      </c>
      <c r="G261" t="inlineStr">
        <is>
          <t>GRUMS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40935-2022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44823</v>
      </c>
      <c r="E262" s="1" t="n">
        <v>46324</v>
      </c>
      <c r="F262" t="inlineStr">
        <is>
          <t>VÄRMLANDS LÄN</t>
        </is>
      </c>
      <c r="G262" t="inlineStr">
        <is>
          <t>GRUMS</t>
        </is>
      </c>
      <c r="H262" t="inlineStr">
        <is>
          <t>Bergvik skog väst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46324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46324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46324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46324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46324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2026-10-29T03:12:33Z</dcterms:created>
  <dcterms:modified xmlns:dcterms="http://purl.org/dc/terms/" xmlns:xsi="http://www.w3.org/2001/XMLSchema-instance" xsi:type="dcterms:W3CDTF">2026-10-29T03:12:34Z</dcterms:modified>
</cp:coreProperties>
</file>