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46289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46289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46289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46289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46289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46289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46289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46289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46289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46289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46289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46289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46289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46289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46289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46289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46289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46289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13121-2023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45002</v>
      </c>
      <c r="E28" s="1" t="n">
        <v>46289</v>
      </c>
      <c r="F28" t="inlineStr">
        <is>
          <t>VÄRMLANDS LÄN</t>
        </is>
      </c>
      <c r="G28" t="inlineStr">
        <is>
          <t>GRUMS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HYPERLINK("https://klasma.github.io/Logging_1764/artfynd/A 13121-2023 artfynd.xlsx", "A 13121-2023")</f>
        <v/>
      </c>
      <c r="X28">
        <f>HYPERLINK("https://klasma.github.io/Logging_1764/kartor/A 13121-2023 karta.png", "A 13121-2023")</f>
        <v/>
      </c>
      <c r="Y28">
        <f>HYPERLINK("https://klasma.github.io/Logging_1764/kartor_geotiff/A 13121-2023 georefererad karta.tif", "A 13121-2023")</f>
        <v/>
      </c>
      <c r="AA28">
        <f>HYPERLINK("https://klasma.github.io/Logging_1764/klagomål/A 13121-2023 FSC-klagomål.docx", "A 13121-2023")</f>
        <v/>
      </c>
      <c r="AB28">
        <f>HYPERLINK("https://klasma.github.io/Logging_1764/klagomålsmail/A 13121-2023 FSC-klagomål mail.docx", "A 13121-2023")</f>
        <v/>
      </c>
      <c r="AC28">
        <f>HYPERLINK("https://klasma.github.io/Logging_1764/tillsyn/A 13121-2023 tillsynsbegäran.docx", "A 13121-2023")</f>
        <v/>
      </c>
      <c r="AD28">
        <f>HYPERLINK("https://klasma.github.io/Logging_1764/tillsynsmail/A 13121-2023 tillsynsbegäran mail.docx", "A 13121-2023")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46289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46289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41878-2024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46289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15.9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Göktyta</t>
        </is>
      </c>
      <c r="W31">
        <f>HYPERLINK("https://klasma.github.io/Logging_1764/artfynd/A 41878-2024 artfynd.xlsx", "A 41878-2024")</f>
        <v/>
      </c>
      <c r="X31">
        <f>HYPERLINK("https://klasma.github.io/Logging_1764/kartor/A 41878-2024 karta.png", "A 41878-2024")</f>
        <v/>
      </c>
      <c r="Y31">
        <f>HYPERLINK("https://klasma.github.io/Logging_1764/kartor_geotiff/A 41878-2024 georefererad karta.tif", "A 41878-2024")</f>
        <v/>
      </c>
      <c r="AA31">
        <f>HYPERLINK("https://klasma.github.io/Logging_1764/klagomål/A 41878-2024 FSC-klagomål.docx", "A 41878-2024")</f>
        <v/>
      </c>
      <c r="AB31">
        <f>HYPERLINK("https://klasma.github.io/Logging_1764/klagomålsmail/A 41878-2024 FSC-klagomål mail.docx", "A 41878-2024")</f>
        <v/>
      </c>
      <c r="AC31">
        <f>HYPERLINK("https://klasma.github.io/Logging_1764/tillsyn/A 41878-2024 tillsynsbegäran.docx", "A 41878-2024")</f>
        <v/>
      </c>
      <c r="AD31">
        <f>HYPERLINK("https://klasma.github.io/Logging_1764/tillsynsmail/A 41878-2024 tillsynsbegäran mail.docx", "A 41878-2024")</f>
        <v/>
      </c>
      <c r="AE31">
        <f>HYPERLINK("https://klasma.github.io/Logging_1764/fåglar/A 41878-2024 prioriterade fågelarter.docx", "A 41878-2024")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46289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19524-2024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46289</v>
      </c>
      <c r="F33" t="inlineStr">
        <is>
          <t>VÄRMLANDS LÄN</t>
        </is>
      </c>
      <c r="G33" t="inlineStr">
        <is>
          <t>GRUMS</t>
        </is>
      </c>
      <c r="I33" t="n">
        <v>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Sädesärla</t>
        </is>
      </c>
      <c r="W33">
        <f>HYPERLINK("https://klasma.github.io/Logging_1764/artfynd/A 19524-2024 artfynd.xlsx", "A 19524-2024")</f>
        <v/>
      </c>
      <c r="X33">
        <f>HYPERLINK("https://klasma.github.io/Logging_1764/kartor/A 19524-2024 karta.png", "A 19524-2024")</f>
        <v/>
      </c>
      <c r="Y33">
        <f>HYPERLINK("https://klasma.github.io/Logging_1764/kartor_geotiff/A 19524-2024 georefererad karta.tif", "A 19524-2024")</f>
        <v/>
      </c>
      <c r="AA33">
        <f>HYPERLINK("https://klasma.github.io/Logging_1764/klagomål/A 19524-2024 FSC-klagomål.docx", "A 19524-2024")</f>
        <v/>
      </c>
      <c r="AB33">
        <f>HYPERLINK("https://klasma.github.io/Logging_1764/klagomålsmail/A 19524-2024 FSC-klagomål mail.docx", "A 19524-2024")</f>
        <v/>
      </c>
      <c r="AC33">
        <f>HYPERLINK("https://klasma.github.io/Logging_1764/tillsyn/A 19524-2024 tillsynsbegäran.docx", "A 19524-2024")</f>
        <v/>
      </c>
      <c r="AD33">
        <f>HYPERLINK("https://klasma.github.io/Logging_1764/tillsynsmail/A 19524-2024 tillsynsbegäran mail.docx", "A 19524-2024")</f>
        <v/>
      </c>
      <c r="AE33">
        <f>HYPERLINK("https://klasma.github.io/Logging_1764/fåglar/A 19524-2024 prioriterade fågelarter.docx", "A 19524-2024")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46289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19052-2024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45427</v>
      </c>
      <c r="E35" s="1" t="n">
        <v>46289</v>
      </c>
      <c r="F35" t="inlineStr">
        <is>
          <t>VÄRMLANDS LÄN</t>
        </is>
      </c>
      <c r="G35" t="inlineStr">
        <is>
          <t>GRUMS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HYPERLINK("https://klasma.github.io/Logging_1764/artfynd/A 19052-2024 artfynd.xlsx", "A 19052-2024")</f>
        <v/>
      </c>
      <c r="X35">
        <f>HYPERLINK("https://klasma.github.io/Logging_1764/kartor/A 19052-2024 karta.png", "A 19052-2024")</f>
        <v/>
      </c>
      <c r="Y35">
        <f>HYPERLINK("https://klasma.github.io/Logging_1764/kartor_geotiff/A 19052-2024 georefererad karta.tif", "A 19052-2024")</f>
        <v/>
      </c>
      <c r="AA35">
        <f>HYPERLINK("https://klasma.github.io/Logging_1764/klagomål/A 19052-2024 FSC-klagomål.docx", "A 19052-2024")</f>
        <v/>
      </c>
      <c r="AB35">
        <f>HYPERLINK("https://klasma.github.io/Logging_1764/klagomålsmail/A 19052-2024 FSC-klagomål mail.docx", "A 19052-2024")</f>
        <v/>
      </c>
      <c r="AC35">
        <f>HYPERLINK("https://klasma.github.io/Logging_1764/tillsyn/A 19052-2024 tillsynsbegäran.docx", "A 19052-2024")</f>
        <v/>
      </c>
      <c r="AD35">
        <f>HYPERLINK("https://klasma.github.io/Logging_1764/tillsynsmail/A 19052-2024 tillsynsbegäran mail.docx", "A 19052-2024")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46289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46289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46289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30411-2025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46289</v>
      </c>
      <c r="F39" t="inlineStr">
        <is>
          <t>VÄRMLANDS LÄN</t>
        </is>
      </c>
      <c r="G39" t="inlineStr">
        <is>
          <t>GRUMS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HYPERLINK("https://klasma.github.io/Logging_1764/artfynd/A 30411-2025 artfynd.xlsx", "A 30411-2025")</f>
        <v/>
      </c>
      <c r="X39">
        <f>HYPERLINK("https://klasma.github.io/Logging_1764/kartor/A 30411-2025 karta.png", "A 30411-2025")</f>
        <v/>
      </c>
      <c r="Y39">
        <f>HYPERLINK("https://klasma.github.io/Logging_1764/kartor_geotiff/A 30411-2025 georefererad karta.tif", "A 30411-2025")</f>
        <v/>
      </c>
      <c r="AA39">
        <f>HYPERLINK("https://klasma.github.io/Logging_1764/klagomål/A 30411-2025 FSC-klagomål.docx", "A 30411-2025")</f>
        <v/>
      </c>
      <c r="AB39">
        <f>HYPERLINK("https://klasma.github.io/Logging_1764/klagomålsmail/A 30411-2025 FSC-klagomål mail.docx", "A 30411-2025")</f>
        <v/>
      </c>
      <c r="AC39">
        <f>HYPERLINK("https://klasma.github.io/Logging_1764/tillsyn/A 30411-2025 tillsynsbegäran.docx", "A 30411-2025")</f>
        <v/>
      </c>
      <c r="AD39">
        <f>HYPERLINK("https://klasma.github.io/Logging_1764/tillsynsmail/A 30411-2025 tillsynsbegäran mail.docx", "A 30411-2025")</f>
        <v/>
      </c>
    </row>
    <row r="40" ht="15" customHeight="1">
      <c r="A40" t="inlineStr">
        <is>
          <t>A 62675-2023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45271</v>
      </c>
      <c r="E40" s="1" t="n">
        <v>46289</v>
      </c>
      <c r="F40" t="inlineStr">
        <is>
          <t>VÄRMLANDS LÄN</t>
        </is>
      </c>
      <c r="G40" t="inlineStr">
        <is>
          <t>GRUMS</t>
        </is>
      </c>
      <c r="I40" t="n">
        <v>3.4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HYPERLINK("https://klasma.github.io/Logging_1764/artfynd/A 62675-2023 artfynd.xlsx", "A 62675-2023")</f>
        <v/>
      </c>
      <c r="X40">
        <f>HYPERLINK("https://klasma.github.io/Logging_1764/kartor/A 62675-2023 karta.png", "A 62675-2023")</f>
        <v/>
      </c>
      <c r="Y40">
        <f>HYPERLINK("https://klasma.github.io/Logging_1764/kartor_geotiff/A 62675-2023 georefererad karta.tif", "A 62675-2023")</f>
        <v/>
      </c>
      <c r="AA40">
        <f>HYPERLINK("https://klasma.github.io/Logging_1764/klagomål/A 62675-2023 FSC-klagomål.docx", "A 62675-2023")</f>
        <v/>
      </c>
      <c r="AB40">
        <f>HYPERLINK("https://klasma.github.io/Logging_1764/klagomålsmail/A 62675-2023 FSC-klagomål mail.docx", "A 62675-2023")</f>
        <v/>
      </c>
      <c r="AC40">
        <f>HYPERLINK("https://klasma.github.io/Logging_1764/tillsyn/A 62675-2023 tillsynsbegäran.docx", "A 62675-2023")</f>
        <v/>
      </c>
      <c r="AD40">
        <f>HYPERLINK("https://klasma.github.io/Logging_1764/tillsynsmail/A 62675-2023 tillsynsbegäran mail.docx", "A 62675-2023")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46289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46289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46289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46289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46289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46289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46289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46289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46289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46289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46289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46289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46289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46289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46289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46289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46289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22133-2025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46289</v>
      </c>
      <c r="F65" t="inlineStr">
        <is>
          <t>VÄRMLANDS LÄN</t>
        </is>
      </c>
      <c r="G65" t="inlineStr">
        <is>
          <t>GRUMS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8361-2025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45708</v>
      </c>
      <c r="E66" s="1" t="n">
        <v>46289</v>
      </c>
      <c r="F66" t="inlineStr">
        <is>
          <t>VÄRMLANDS LÄN</t>
        </is>
      </c>
      <c r="G66" t="inlineStr">
        <is>
          <t>GRUMS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46289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46289</v>
      </c>
      <c r="F68" t="inlineStr">
        <is>
          <t>VÄRMLANDS LÄN</t>
        </is>
      </c>
      <c r="G68" t="inlineStr">
        <is>
          <t>GRUMS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46289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46289</v>
      </c>
      <c r="F70" t="inlineStr">
        <is>
          <t>VÄRMLANDS LÄN</t>
        </is>
      </c>
      <c r="G70" t="inlineStr">
        <is>
          <t>GRUMS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44797</v>
      </c>
      <c r="E71" s="1" t="n">
        <v>46289</v>
      </c>
      <c r="F71" t="inlineStr">
        <is>
          <t>VÄRMLANDS LÄN</t>
        </is>
      </c>
      <c r="G71" t="inlineStr">
        <is>
          <t>GRUMS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46289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46289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29426-2022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44753</v>
      </c>
      <c r="E74" s="1" t="n">
        <v>46289</v>
      </c>
      <c r="F74" t="inlineStr">
        <is>
          <t>VÄRMLANDS LÄN</t>
        </is>
      </c>
      <c r="G74" t="inlineStr">
        <is>
          <t>GRUMS</t>
        </is>
      </c>
      <c r="H74" t="inlineStr">
        <is>
          <t>Bergvik skog väst AB</t>
        </is>
      </c>
      <c r="I74" t="n">
        <v>14.4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46289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22537-2025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45787</v>
      </c>
      <c r="E76" s="1" t="n">
        <v>46289</v>
      </c>
      <c r="F76" t="inlineStr">
        <is>
          <t>VÄRMLANDS LÄN</t>
        </is>
      </c>
      <c r="G76" t="inlineStr">
        <is>
          <t>GRUMS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46289</v>
      </c>
      <c r="F77" t="inlineStr">
        <is>
          <t>VÄRMLANDS LÄN</t>
        </is>
      </c>
      <c r="G77" t="inlineStr">
        <is>
          <t>GRUMS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46289</v>
      </c>
      <c r="F78" t="inlineStr">
        <is>
          <t>VÄRMLANDS LÄN</t>
        </is>
      </c>
      <c r="G78" t="inlineStr">
        <is>
          <t>GRUMS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46289</v>
      </c>
      <c r="F79" t="inlineStr">
        <is>
          <t>VÄRMLANDS LÄN</t>
        </is>
      </c>
      <c r="G79" t="inlineStr">
        <is>
          <t>GRUMS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44577</v>
      </c>
      <c r="E80" s="1" t="n">
        <v>46289</v>
      </c>
      <c r="F80" t="inlineStr">
        <is>
          <t>VÄRMLANDS LÄN</t>
        </is>
      </c>
      <c r="G80" t="inlineStr">
        <is>
          <t>GRUMS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46289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46289</v>
      </c>
      <c r="F82" t="inlineStr">
        <is>
          <t>VÄRMLANDS LÄN</t>
        </is>
      </c>
      <c r="G82" t="inlineStr">
        <is>
          <t>GRUMS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63919-2021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44509</v>
      </c>
      <c r="E83" s="1" t="n">
        <v>46289</v>
      </c>
      <c r="F83" t="inlineStr">
        <is>
          <t>VÄRMLANDS LÄN</t>
        </is>
      </c>
      <c r="G83" t="inlineStr">
        <is>
          <t>GRUMS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46289</v>
      </c>
      <c r="F84" t="inlineStr">
        <is>
          <t>VÄRMLANDS LÄN</t>
        </is>
      </c>
      <c r="G84" t="inlineStr">
        <is>
          <t>GRUMS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46289</v>
      </c>
      <c r="F85" t="inlineStr">
        <is>
          <t>VÄRMLANDS LÄN</t>
        </is>
      </c>
      <c r="G85" t="inlineStr">
        <is>
          <t>GRUMS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46289</v>
      </c>
      <c r="F86" t="inlineStr">
        <is>
          <t>VÄRMLANDS LÄN</t>
        </is>
      </c>
      <c r="G86" t="inlineStr">
        <is>
          <t>GRUMS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46289</v>
      </c>
      <c r="F87" t="inlineStr">
        <is>
          <t>VÄRMLANDS LÄN</t>
        </is>
      </c>
      <c r="G87" t="inlineStr">
        <is>
          <t>GRUMS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45441</v>
      </c>
      <c r="E88" s="1" t="n">
        <v>46289</v>
      </c>
      <c r="F88" t="inlineStr">
        <is>
          <t>VÄRMLANDS LÄN</t>
        </is>
      </c>
      <c r="G88" t="inlineStr">
        <is>
          <t>GRUMS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33948-2023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45124</v>
      </c>
      <c r="E89" s="1" t="n">
        <v>46289</v>
      </c>
      <c r="F89" t="inlineStr">
        <is>
          <t>VÄRMLANDS LÄN</t>
        </is>
      </c>
      <c r="G89" t="inlineStr">
        <is>
          <t>GRUMS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19053-2024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46289</v>
      </c>
      <c r="F90" t="inlineStr">
        <is>
          <t>VÄRMLANDS LÄN</t>
        </is>
      </c>
      <c r="G90" t="inlineStr">
        <is>
          <t>GRUMS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46289</v>
      </c>
      <c r="F91" t="inlineStr">
        <is>
          <t>VÄRMLANDS LÄN</t>
        </is>
      </c>
      <c r="G91" t="inlineStr">
        <is>
          <t>GRUMS</t>
        </is>
      </c>
      <c r="I91" t="n">
        <v>13.7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45450</v>
      </c>
      <c r="E92" s="1" t="n">
        <v>46289</v>
      </c>
      <c r="F92" t="inlineStr">
        <is>
          <t>VÄRMLANDS LÄN</t>
        </is>
      </c>
      <c r="G92" t="inlineStr">
        <is>
          <t>GRUMS</t>
        </is>
      </c>
      <c r="H92" t="inlineStr">
        <is>
          <t>Bergvik skog väst AB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46289</v>
      </c>
      <c r="F93" t="inlineStr">
        <is>
          <t>VÄRMLANDS LÄN</t>
        </is>
      </c>
      <c r="G93" t="inlineStr">
        <is>
          <t>GRUMS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45761</v>
      </c>
      <c r="E94" s="1" t="n">
        <v>46289</v>
      </c>
      <c r="F94" t="inlineStr">
        <is>
          <t>VÄRMLANDS LÄN</t>
        </is>
      </c>
      <c r="G94" t="inlineStr">
        <is>
          <t>GRUMS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46289</v>
      </c>
      <c r="F95" t="inlineStr">
        <is>
          <t>VÄRMLANDS LÄN</t>
        </is>
      </c>
      <c r="G95" t="inlineStr">
        <is>
          <t>GRUMS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6938-2024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45343</v>
      </c>
      <c r="E96" s="1" t="n">
        <v>46289</v>
      </c>
      <c r="F96" t="inlineStr">
        <is>
          <t>VÄRMLANDS LÄN</t>
        </is>
      </c>
      <c r="G96" t="inlineStr">
        <is>
          <t>GRUMS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46289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46289</v>
      </c>
      <c r="F98" t="inlineStr">
        <is>
          <t>VÄRMLANDS LÄN</t>
        </is>
      </c>
      <c r="G98" t="inlineStr">
        <is>
          <t>GRUMS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46289</v>
      </c>
      <c r="F99" t="inlineStr">
        <is>
          <t>VÄRMLANDS LÄN</t>
        </is>
      </c>
      <c r="G99" t="inlineStr">
        <is>
          <t>GRUMS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45391</v>
      </c>
      <c r="E100" s="1" t="n">
        <v>46289</v>
      </c>
      <c r="F100" t="inlineStr">
        <is>
          <t>VÄRMLANDS LÄN</t>
        </is>
      </c>
      <c r="G100" t="inlineStr">
        <is>
          <t>GRUMS</t>
        </is>
      </c>
      <c r="H100" t="inlineStr">
        <is>
          <t>Bergvik skog väst AB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46289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45467</v>
      </c>
      <c r="E102" s="1" t="n">
        <v>46289</v>
      </c>
      <c r="F102" t="inlineStr">
        <is>
          <t>VÄRMLANDS LÄN</t>
        </is>
      </c>
      <c r="G102" t="inlineStr">
        <is>
          <t>GRUMS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45757</v>
      </c>
      <c r="E103" s="1" t="n">
        <v>46289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45089</v>
      </c>
      <c r="E104" s="1" t="n">
        <v>46289</v>
      </c>
      <c r="F104" t="inlineStr">
        <is>
          <t>VÄRMLANDS LÄN</t>
        </is>
      </c>
      <c r="G104" t="inlineStr">
        <is>
          <t>GRUMS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28228-2024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45477</v>
      </c>
      <c r="E105" s="1" t="n">
        <v>46289</v>
      </c>
      <c r="F105" t="inlineStr">
        <is>
          <t>VÄRMLANDS LÄN</t>
        </is>
      </c>
      <c r="G105" t="inlineStr">
        <is>
          <t>GRUMS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45011</v>
      </c>
      <c r="E106" s="1" t="n">
        <v>46289</v>
      </c>
      <c r="F106" t="inlineStr">
        <is>
          <t>VÄRMLANDS LÄN</t>
        </is>
      </c>
      <c r="G106" t="inlineStr">
        <is>
          <t>GRUMS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46289</v>
      </c>
      <c r="F107" t="inlineStr">
        <is>
          <t>VÄRMLANDS LÄN</t>
        </is>
      </c>
      <c r="G107" t="inlineStr">
        <is>
          <t>GRUMS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46289</v>
      </c>
      <c r="F108" t="inlineStr">
        <is>
          <t>VÄRMLANDS LÄN</t>
        </is>
      </c>
      <c r="G108" t="inlineStr">
        <is>
          <t>GRUMS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46289</v>
      </c>
      <c r="F109" t="inlineStr">
        <is>
          <t>VÄRMLANDS LÄN</t>
        </is>
      </c>
      <c r="G109" t="inlineStr">
        <is>
          <t>GRUMS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45461</v>
      </c>
      <c r="E110" s="1" t="n">
        <v>46289</v>
      </c>
      <c r="F110" t="inlineStr">
        <is>
          <t>VÄRMLANDS LÄN</t>
        </is>
      </c>
      <c r="G110" t="inlineStr">
        <is>
          <t>GRUMS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45412</v>
      </c>
      <c r="E111" s="1" t="n">
        <v>46289</v>
      </c>
      <c r="F111" t="inlineStr">
        <is>
          <t>VÄRMLANDS LÄN</t>
        </is>
      </c>
      <c r="G111" t="inlineStr">
        <is>
          <t>GRUMS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46289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46289</v>
      </c>
      <c r="F113" t="inlineStr">
        <is>
          <t>VÄRMLANDS LÄN</t>
        </is>
      </c>
      <c r="G113" t="inlineStr">
        <is>
          <t>GRUMS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45329</v>
      </c>
      <c r="E114" s="1" t="n">
        <v>46289</v>
      </c>
      <c r="F114" t="inlineStr">
        <is>
          <t>VÄRMLANDS LÄN</t>
        </is>
      </c>
      <c r="G114" t="inlineStr">
        <is>
          <t>GRUMS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44468</v>
      </c>
      <c r="E115" s="1" t="n">
        <v>46289</v>
      </c>
      <c r="F115" t="inlineStr">
        <is>
          <t>VÄRMLANDS LÄN</t>
        </is>
      </c>
      <c r="G115" t="inlineStr">
        <is>
          <t>GRUMS</t>
        </is>
      </c>
      <c r="I115" t="n">
        <v>11.6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69847-2021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44532</v>
      </c>
      <c r="E116" s="1" t="n">
        <v>46289</v>
      </c>
      <c r="F116" t="inlineStr">
        <is>
          <t>VÄRMLANDS LÄN</t>
        </is>
      </c>
      <c r="G116" t="inlineStr">
        <is>
          <t>GRUMS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46289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44547</v>
      </c>
      <c r="E118" s="1" t="n">
        <v>46289</v>
      </c>
      <c r="F118" t="inlineStr">
        <is>
          <t>VÄRMLANDS LÄN</t>
        </is>
      </c>
      <c r="G118" t="inlineStr">
        <is>
          <t>GRUMS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71706-2021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46289</v>
      </c>
      <c r="F119" t="inlineStr">
        <is>
          <t>VÄRMLANDS LÄN</t>
        </is>
      </c>
      <c r="G119" t="inlineStr">
        <is>
          <t>GRUMS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46289</v>
      </c>
      <c r="F120" t="inlineStr">
        <is>
          <t>VÄRMLANDS LÄN</t>
        </is>
      </c>
      <c r="G120" t="inlineStr">
        <is>
          <t>GRUMS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47152-2023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46289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45467-2022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46289</v>
      </c>
      <c r="F122" t="inlineStr">
        <is>
          <t>VÄRMLANDS LÄN</t>
        </is>
      </c>
      <c r="G122" t="inlineStr">
        <is>
          <t>GRUMS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46289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45153</v>
      </c>
      <c r="E124" s="1" t="n">
        <v>46289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44608</v>
      </c>
      <c r="E125" s="1" t="n">
        <v>46289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46289</v>
      </c>
      <c r="F126" t="inlineStr">
        <is>
          <t>VÄRMLANDS LÄN</t>
        </is>
      </c>
      <c r="G126" t="inlineStr">
        <is>
          <t>GRUMS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46289</v>
      </c>
      <c r="F127" t="inlineStr">
        <is>
          <t>VÄRMLANDS LÄN</t>
        </is>
      </c>
      <c r="G127" t="inlineStr">
        <is>
          <t>GRUMS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45411</v>
      </c>
      <c r="E128" s="1" t="n">
        <v>46289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45272</v>
      </c>
      <c r="E129" s="1" t="n">
        <v>46289</v>
      </c>
      <c r="F129" t="inlineStr">
        <is>
          <t>VÄRMLANDS LÄN</t>
        </is>
      </c>
      <c r="G129" t="inlineStr">
        <is>
          <t>GRUMS</t>
        </is>
      </c>
      <c r="I129" t="n">
        <v>13.8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45152</v>
      </c>
      <c r="E130" s="1" t="n">
        <v>46289</v>
      </c>
      <c r="F130" t="inlineStr">
        <is>
          <t>VÄRMLANDS LÄN</t>
        </is>
      </c>
      <c r="G130" t="inlineStr">
        <is>
          <t>GRUMS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46289</v>
      </c>
      <c r="F131" t="inlineStr">
        <is>
          <t>VÄRMLANDS LÄN</t>
        </is>
      </c>
      <c r="G131" t="inlineStr">
        <is>
          <t>GRUMS</t>
        </is>
      </c>
      <c r="I131" t="n">
        <v>14.3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46289</v>
      </c>
      <c r="F132" t="inlineStr">
        <is>
          <t>VÄRMLANDS LÄN</t>
        </is>
      </c>
      <c r="G132" t="inlineStr">
        <is>
          <t>GRUMS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66056-2021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44517</v>
      </c>
      <c r="E133" s="1" t="n">
        <v>46289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46289</v>
      </c>
      <c r="F134" t="inlineStr">
        <is>
          <t>VÄRMLANDS LÄN</t>
        </is>
      </c>
      <c r="G134" t="inlineStr">
        <is>
          <t>GRUMS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46289</v>
      </c>
      <c r="F135" t="inlineStr">
        <is>
          <t>VÄRMLANDS LÄN</t>
        </is>
      </c>
      <c r="G135" t="inlineStr">
        <is>
          <t>GRUMS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46289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46289</v>
      </c>
      <c r="F137" t="inlineStr">
        <is>
          <t>VÄRMLANDS LÄN</t>
        </is>
      </c>
      <c r="G137" t="inlineStr">
        <is>
          <t>GRUMS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46289</v>
      </c>
      <c r="F138" t="inlineStr">
        <is>
          <t>VÄRMLANDS LÄN</t>
        </is>
      </c>
      <c r="G138" t="inlineStr">
        <is>
          <t>GRUMS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31362-2024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45505</v>
      </c>
      <c r="E139" s="1" t="n">
        <v>46289</v>
      </c>
      <c r="F139" t="inlineStr">
        <is>
          <t>VÄRMLANDS LÄN</t>
        </is>
      </c>
      <c r="G139" t="inlineStr">
        <is>
          <t>GRUMS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45061</v>
      </c>
      <c r="E140" s="1" t="n">
        <v>46289</v>
      </c>
      <c r="F140" t="inlineStr">
        <is>
          <t>VÄRMLANDS LÄN</t>
        </is>
      </c>
      <c r="G140" t="inlineStr">
        <is>
          <t>GRUMS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17443-2025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46289</v>
      </c>
      <c r="F141" t="inlineStr">
        <is>
          <t>VÄRMLANDS LÄN</t>
        </is>
      </c>
      <c r="G141" t="inlineStr">
        <is>
          <t>GRUMS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46289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7991-2024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45350</v>
      </c>
      <c r="E143" s="1" t="n">
        <v>46289</v>
      </c>
      <c r="F143" t="inlineStr">
        <is>
          <t>VÄRMLANDS LÄN</t>
        </is>
      </c>
      <c r="G143" t="inlineStr">
        <is>
          <t>GRUMS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51509-2025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46289</v>
      </c>
      <c r="F144" t="inlineStr">
        <is>
          <t>VÄRMLANDS LÄN</t>
        </is>
      </c>
      <c r="G144" t="inlineStr">
        <is>
          <t>GRUMS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46289</v>
      </c>
      <c r="F145" t="inlineStr">
        <is>
          <t>VÄRMLANDS LÄN</t>
        </is>
      </c>
      <c r="G145" t="inlineStr">
        <is>
          <t>GRUMS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44963</v>
      </c>
      <c r="E146" s="1" t="n">
        <v>46289</v>
      </c>
      <c r="F146" t="inlineStr">
        <is>
          <t>VÄRMLANDS LÄN</t>
        </is>
      </c>
      <c r="G146" t="inlineStr">
        <is>
          <t>GRUMS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46289</v>
      </c>
      <c r="F147" t="inlineStr">
        <is>
          <t>VÄRMLANDS LÄN</t>
        </is>
      </c>
      <c r="G147" t="inlineStr">
        <is>
          <t>GRUMS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46289</v>
      </c>
      <c r="F148" t="inlineStr">
        <is>
          <t>VÄRMLANDS LÄN</t>
        </is>
      </c>
      <c r="G148" t="inlineStr">
        <is>
          <t>GRUMS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46289</v>
      </c>
      <c r="F149" t="inlineStr">
        <is>
          <t>VÄRMLANDS LÄN</t>
        </is>
      </c>
      <c r="G149" t="inlineStr">
        <is>
          <t>GRUMS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45956</v>
      </c>
      <c r="E150" s="1" t="n">
        <v>46289</v>
      </c>
      <c r="F150" t="inlineStr">
        <is>
          <t>VÄRMLANDS LÄN</t>
        </is>
      </c>
      <c r="G150" t="inlineStr">
        <is>
          <t>GRUMS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46289</v>
      </c>
      <c r="F151" t="inlineStr">
        <is>
          <t>VÄRMLANDS LÄN</t>
        </is>
      </c>
      <c r="G151" t="inlineStr">
        <is>
          <t>GRUMS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45956</v>
      </c>
      <c r="E152" s="1" t="n">
        <v>46289</v>
      </c>
      <c r="F152" t="inlineStr">
        <is>
          <t>VÄRMLANDS LÄN</t>
        </is>
      </c>
      <c r="G152" t="inlineStr">
        <is>
          <t>GRUMS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44762</v>
      </c>
      <c r="E153" s="1" t="n">
        <v>46289</v>
      </c>
      <c r="F153" t="inlineStr">
        <is>
          <t>VÄRMLANDS LÄN</t>
        </is>
      </c>
      <c r="G153" t="inlineStr">
        <is>
          <t>GRUMS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44956</v>
      </c>
      <c r="E154" s="1" t="n">
        <v>46289</v>
      </c>
      <c r="F154" t="inlineStr">
        <is>
          <t>VÄRMLANDS LÄN</t>
        </is>
      </c>
      <c r="G154" t="inlineStr">
        <is>
          <t>GRUMS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46289</v>
      </c>
      <c r="F155" t="inlineStr">
        <is>
          <t>VÄRMLANDS LÄN</t>
        </is>
      </c>
      <c r="G155" t="inlineStr">
        <is>
          <t>GRUMS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46289</v>
      </c>
      <c r="F156" t="inlineStr">
        <is>
          <t>VÄRMLANDS LÄN</t>
        </is>
      </c>
      <c r="G156" t="inlineStr">
        <is>
          <t>GRUMS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45350</v>
      </c>
      <c r="E157" s="1" t="n">
        <v>46289</v>
      </c>
      <c r="F157" t="inlineStr">
        <is>
          <t>VÄRMLANDS LÄN</t>
        </is>
      </c>
      <c r="G157" t="inlineStr">
        <is>
          <t>GRUMS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46289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44785</v>
      </c>
      <c r="E159" s="1" t="n">
        <v>46289</v>
      </c>
      <c r="F159" t="inlineStr">
        <is>
          <t>VÄRMLANDS LÄN</t>
        </is>
      </c>
      <c r="G159" t="inlineStr">
        <is>
          <t>GRUMS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46289</v>
      </c>
      <c r="F160" t="inlineStr">
        <is>
          <t>VÄRMLANDS LÄN</t>
        </is>
      </c>
      <c r="G160" t="inlineStr">
        <is>
          <t>GRUMS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46289</v>
      </c>
      <c r="F161" t="inlineStr">
        <is>
          <t>VÄRMLANDS LÄN</t>
        </is>
      </c>
      <c r="G161" t="inlineStr">
        <is>
          <t>GRUMS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46289</v>
      </c>
      <c r="F162" t="inlineStr">
        <is>
          <t>VÄRMLANDS LÄN</t>
        </is>
      </c>
      <c r="G162" t="inlineStr">
        <is>
          <t>GRUMS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46289</v>
      </c>
      <c r="F163" t="inlineStr">
        <is>
          <t>VÄRMLANDS LÄN</t>
        </is>
      </c>
      <c r="G163" t="inlineStr">
        <is>
          <t>GRUMS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46289</v>
      </c>
      <c r="F164" t="inlineStr">
        <is>
          <t>VÄRMLANDS LÄN</t>
        </is>
      </c>
      <c r="G164" t="inlineStr">
        <is>
          <t>GRUMS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46289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46289</v>
      </c>
      <c r="F166" t="inlineStr">
        <is>
          <t>VÄRMLANDS LÄN</t>
        </is>
      </c>
      <c r="G166" t="inlineStr">
        <is>
          <t>GRUMS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46289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46289</v>
      </c>
      <c r="F168" t="inlineStr">
        <is>
          <t>VÄRMLANDS LÄN</t>
        </is>
      </c>
      <c r="G168" t="inlineStr">
        <is>
          <t>GRUMS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46289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46289</v>
      </c>
      <c r="F170" t="inlineStr">
        <is>
          <t>VÄRMLANDS LÄN</t>
        </is>
      </c>
      <c r="G170" t="inlineStr">
        <is>
          <t>GRUMS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46289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45107</v>
      </c>
      <c r="E172" s="1" t="n">
        <v>46289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46289</v>
      </c>
      <c r="F173" t="inlineStr">
        <is>
          <t>VÄRMLANDS LÄN</t>
        </is>
      </c>
      <c r="G173" t="inlineStr">
        <is>
          <t>GRUMS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45665</v>
      </c>
      <c r="E174" s="1" t="n">
        <v>46289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46289</v>
      </c>
      <c r="F175" t="inlineStr">
        <is>
          <t>VÄRMLANDS LÄN</t>
        </is>
      </c>
      <c r="G175" t="inlineStr">
        <is>
          <t>GRUMS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46289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46289</v>
      </c>
      <c r="F177" t="inlineStr">
        <is>
          <t>VÄRMLANDS LÄN</t>
        </is>
      </c>
      <c r="G177" t="inlineStr">
        <is>
          <t>GRUMS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46289</v>
      </c>
      <c r="F178" t="inlineStr">
        <is>
          <t>VÄRMLANDS LÄN</t>
        </is>
      </c>
      <c r="G178" t="inlineStr">
        <is>
          <t>GRUMS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45419</v>
      </c>
      <c r="E179" s="1" t="n">
        <v>46289</v>
      </c>
      <c r="F179" t="inlineStr">
        <is>
          <t>VÄRMLANDS LÄN</t>
        </is>
      </c>
      <c r="G179" t="inlineStr">
        <is>
          <t>GRUMS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37676-2023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45159</v>
      </c>
      <c r="E180" s="1" t="n">
        <v>46289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45996</v>
      </c>
      <c r="E181" s="1" t="n">
        <v>46289</v>
      </c>
      <c r="F181" t="inlineStr">
        <is>
          <t>VÄRMLANDS LÄN</t>
        </is>
      </c>
      <c r="G181" t="inlineStr">
        <is>
          <t>GRUMS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46289</v>
      </c>
      <c r="F182" t="inlineStr">
        <is>
          <t>VÄRMLANDS LÄN</t>
        </is>
      </c>
      <c r="G182" t="inlineStr">
        <is>
          <t>GRUMS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46289</v>
      </c>
      <c r="F183" t="inlineStr">
        <is>
          <t>VÄRMLANDS LÄN</t>
        </is>
      </c>
      <c r="G183" t="inlineStr">
        <is>
          <t>GRUMS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45300</v>
      </c>
      <c r="E184" s="1" t="n">
        <v>46289</v>
      </c>
      <c r="F184" t="inlineStr">
        <is>
          <t>VÄRMLANDS LÄN</t>
        </is>
      </c>
      <c r="G184" t="inlineStr">
        <is>
          <t>GRUMS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44847</v>
      </c>
      <c r="E185" s="1" t="n">
        <v>46289</v>
      </c>
      <c r="F185" t="inlineStr">
        <is>
          <t>VÄRMLANDS LÄN</t>
        </is>
      </c>
      <c r="G185" t="inlineStr">
        <is>
          <t>GRUMS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45836</v>
      </c>
      <c r="E186" s="1" t="n">
        <v>46289</v>
      </c>
      <c r="F186" t="inlineStr">
        <is>
          <t>VÄRMLANDS LÄN</t>
        </is>
      </c>
      <c r="G186" t="inlineStr">
        <is>
          <t>GRUMS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46039</v>
      </c>
      <c r="E187" s="1" t="n">
        <v>46289</v>
      </c>
      <c r="F187" t="inlineStr">
        <is>
          <t>VÄRMLANDS LÄN</t>
        </is>
      </c>
      <c r="G187" t="inlineStr">
        <is>
          <t>GRUMS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44924</v>
      </c>
      <c r="E188" s="1" t="n">
        <v>46289</v>
      </c>
      <c r="F188" t="inlineStr">
        <is>
          <t>VÄRMLANDS LÄN</t>
        </is>
      </c>
      <c r="G188" t="inlineStr">
        <is>
          <t>GRUMS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45989</v>
      </c>
      <c r="E189" s="1" t="n">
        <v>46289</v>
      </c>
      <c r="F189" t="inlineStr">
        <is>
          <t>VÄRMLANDS LÄN</t>
        </is>
      </c>
      <c r="G189" t="inlineStr">
        <is>
          <t>GRUMS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45245</v>
      </c>
      <c r="E190" s="1" t="n">
        <v>46289</v>
      </c>
      <c r="F190" t="inlineStr">
        <is>
          <t>VÄRMLANDS LÄN</t>
        </is>
      </c>
      <c r="G190" t="inlineStr">
        <is>
          <t>GRUMS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45245</v>
      </c>
      <c r="E191" s="1" t="n">
        <v>46289</v>
      </c>
      <c r="F191" t="inlineStr">
        <is>
          <t>VÄRMLANDS LÄN</t>
        </is>
      </c>
      <c r="G191" t="inlineStr">
        <is>
          <t>GRUMS</t>
        </is>
      </c>
      <c r="I191" t="n">
        <v>18.2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46289</v>
      </c>
      <c r="F192" t="inlineStr">
        <is>
          <t>VÄRMLANDS LÄN</t>
        </is>
      </c>
      <c r="G192" t="inlineStr">
        <is>
          <t>GRUMS</t>
        </is>
      </c>
      <c r="H192" t="inlineStr">
        <is>
          <t>Bergvik skog väst AB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46289</v>
      </c>
      <c r="F193" t="inlineStr">
        <is>
          <t>VÄRMLANDS LÄN</t>
        </is>
      </c>
      <c r="G193" t="inlineStr">
        <is>
          <t>GRUMS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44784</v>
      </c>
      <c r="E194" s="1" t="n">
        <v>46289</v>
      </c>
      <c r="F194" t="inlineStr">
        <is>
          <t>VÄRMLANDS LÄN</t>
        </is>
      </c>
      <c r="G194" t="inlineStr">
        <is>
          <t>GRUMS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46289</v>
      </c>
      <c r="F195" t="inlineStr">
        <is>
          <t>VÄRMLANDS LÄN</t>
        </is>
      </c>
      <c r="G195" t="inlineStr">
        <is>
          <t>GRUMS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46289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46289</v>
      </c>
      <c r="F197" t="inlineStr">
        <is>
          <t>VÄRMLANDS LÄN</t>
        </is>
      </c>
      <c r="G197" t="inlineStr">
        <is>
          <t>GRUMS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46289</v>
      </c>
      <c r="F198" t="inlineStr">
        <is>
          <t>VÄRMLANDS LÄN</t>
        </is>
      </c>
      <c r="G198" t="inlineStr">
        <is>
          <t>GRUMS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46244</v>
      </c>
      <c r="E199" s="1" t="n">
        <v>46289</v>
      </c>
      <c r="F199" t="inlineStr">
        <is>
          <t>VÄRMLANDS LÄN</t>
        </is>
      </c>
      <c r="G199" t="inlineStr">
        <is>
          <t>GRUMS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45432</v>
      </c>
      <c r="E200" s="1" t="n">
        <v>46289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44795</v>
      </c>
      <c r="E201" s="1" t="n">
        <v>46289</v>
      </c>
      <c r="F201" t="inlineStr">
        <is>
          <t>VÄRMLANDS LÄN</t>
        </is>
      </c>
      <c r="G201" t="inlineStr">
        <is>
          <t>GRUMS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46289</v>
      </c>
      <c r="F202" t="inlineStr">
        <is>
          <t>VÄRMLANDS LÄN</t>
        </is>
      </c>
      <c r="G202" t="inlineStr">
        <is>
          <t>GRUMS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45049</v>
      </c>
      <c r="E203" s="1" t="n">
        <v>46289</v>
      </c>
      <c r="F203" t="inlineStr">
        <is>
          <t>VÄRMLANDS LÄN</t>
        </is>
      </c>
      <c r="G203" t="inlineStr">
        <is>
          <t>GRUMS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45708</v>
      </c>
      <c r="E204" s="1" t="n">
        <v>46289</v>
      </c>
      <c r="F204" t="inlineStr">
        <is>
          <t>VÄRMLANDS LÄN</t>
        </is>
      </c>
      <c r="G204" t="inlineStr">
        <is>
          <t>GRUMS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7272-2022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44606</v>
      </c>
      <c r="E205" s="1" t="n">
        <v>46289</v>
      </c>
      <c r="F205" t="inlineStr">
        <is>
          <t>VÄRMLANDS LÄN</t>
        </is>
      </c>
      <c r="G205" t="inlineStr">
        <is>
          <t>GRUMS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22822-2024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45448</v>
      </c>
      <c r="E206" s="1" t="n">
        <v>46289</v>
      </c>
      <c r="F206" t="inlineStr">
        <is>
          <t>VÄRMLANDS LÄN</t>
        </is>
      </c>
      <c r="G206" t="inlineStr">
        <is>
          <t>GRUMS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59542-2022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44907</v>
      </c>
      <c r="E207" s="1" t="n">
        <v>46289</v>
      </c>
      <c r="F207" t="inlineStr">
        <is>
          <t>VÄRMLANDS LÄN</t>
        </is>
      </c>
      <c r="G207" t="inlineStr">
        <is>
          <t>GRUMS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45441</v>
      </c>
      <c r="E208" s="1" t="n">
        <v>46289</v>
      </c>
      <c r="F208" t="inlineStr">
        <is>
          <t>VÄRMLANDS LÄN</t>
        </is>
      </c>
      <c r="G208" t="inlineStr">
        <is>
          <t>GRUMS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14688-2026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46101</v>
      </c>
      <c r="E209" s="1" t="n">
        <v>46289</v>
      </c>
      <c r="F209" t="inlineStr">
        <is>
          <t>VÄRMLANDS LÄN</t>
        </is>
      </c>
      <c r="G209" t="inlineStr">
        <is>
          <t>GRUMS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45855</v>
      </c>
      <c r="E210" s="1" t="n">
        <v>46289</v>
      </c>
      <c r="F210" t="inlineStr">
        <is>
          <t>VÄRMLANDS LÄN</t>
        </is>
      </c>
      <c r="G210" t="inlineStr">
        <is>
          <t>GRUMS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46289</v>
      </c>
      <c r="F211" t="inlineStr">
        <is>
          <t>VÄRMLANDS LÄN</t>
        </is>
      </c>
      <c r="G211" t="inlineStr">
        <is>
          <t>GRUMS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71781-2021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46289</v>
      </c>
      <c r="F212" t="inlineStr">
        <is>
          <t>VÄRMLANDS LÄN</t>
        </is>
      </c>
      <c r="G212" t="inlineStr">
        <is>
          <t>GRUMS</t>
        </is>
      </c>
      <c r="H212" t="inlineStr">
        <is>
          <t>Bergvik skog väst AB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46289</v>
      </c>
      <c r="F213" t="inlineStr">
        <is>
          <t>VÄRMLANDS LÄN</t>
        </is>
      </c>
      <c r="G213" t="inlineStr">
        <is>
          <t>GRUMS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31930-2024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45510</v>
      </c>
      <c r="E214" s="1" t="n">
        <v>46289</v>
      </c>
      <c r="F214" t="inlineStr">
        <is>
          <t>VÄRMLANDS LÄN</t>
        </is>
      </c>
      <c r="G214" t="inlineStr">
        <is>
          <t>GRUMS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73901-2021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44552</v>
      </c>
      <c r="E215" s="1" t="n">
        <v>46289</v>
      </c>
      <c r="F215" t="inlineStr">
        <is>
          <t>VÄRMLANDS LÄN</t>
        </is>
      </c>
      <c r="G215" t="inlineStr">
        <is>
          <t>GRUMS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46289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45390</v>
      </c>
      <c r="E217" s="1" t="n">
        <v>46289</v>
      </c>
      <c r="F217" t="inlineStr">
        <is>
          <t>VÄRMLANDS LÄN</t>
        </is>
      </c>
      <c r="G217" t="inlineStr">
        <is>
          <t>GRUMS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46289</v>
      </c>
      <c r="F218" t="inlineStr">
        <is>
          <t>VÄRMLANDS LÄN</t>
        </is>
      </c>
      <c r="G218" t="inlineStr">
        <is>
          <t>GRUMS</t>
        </is>
      </c>
      <c r="I218" t="n">
        <v>22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46289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52848-2021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46289</v>
      </c>
      <c r="F220" t="inlineStr">
        <is>
          <t>VÄRMLANDS LÄN</t>
        </is>
      </c>
      <c r="G220" t="inlineStr">
        <is>
          <t>GRUMS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46289</v>
      </c>
      <c r="F221" t="inlineStr">
        <is>
          <t>VÄRMLANDS LÄN</t>
        </is>
      </c>
      <c r="G221" t="inlineStr">
        <is>
          <t>GRUMS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46289</v>
      </c>
      <c r="F222" t="inlineStr">
        <is>
          <t>VÄRMLANDS LÄN</t>
        </is>
      </c>
      <c r="G222" t="inlineStr">
        <is>
          <t>GRUMS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45877</v>
      </c>
      <c r="E223" s="1" t="n">
        <v>46289</v>
      </c>
      <c r="F223" t="inlineStr">
        <is>
          <t>VÄRMLANDS LÄN</t>
        </is>
      </c>
      <c r="G223" t="inlineStr">
        <is>
          <t>GRUMS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21248-2022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44705</v>
      </c>
      <c r="E224" s="1" t="n">
        <v>46289</v>
      </c>
      <c r="F224" t="inlineStr">
        <is>
          <t>VÄRMLANDS LÄN</t>
        </is>
      </c>
      <c r="G224" t="inlineStr">
        <is>
          <t>GRUMS</t>
        </is>
      </c>
      <c r="I224" t="n">
        <v>12.4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46289</v>
      </c>
      <c r="F225" t="inlineStr">
        <is>
          <t>VÄRMLANDS LÄN</t>
        </is>
      </c>
      <c r="G225" t="inlineStr">
        <is>
          <t>GRUMS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46289</v>
      </c>
      <c r="F226" t="inlineStr">
        <is>
          <t>VÄRMLANDS LÄN</t>
        </is>
      </c>
      <c r="G226" t="inlineStr">
        <is>
          <t>GRUMS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46289</v>
      </c>
      <c r="F227" t="inlineStr">
        <is>
          <t>VÄRMLANDS LÄN</t>
        </is>
      </c>
      <c r="G227" t="inlineStr">
        <is>
          <t>GRUMS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45231</v>
      </c>
      <c r="E228" s="1" t="n">
        <v>46289</v>
      </c>
      <c r="F228" t="inlineStr">
        <is>
          <t>VÄRMLANDS LÄN</t>
        </is>
      </c>
      <c r="G228" t="inlineStr">
        <is>
          <t>GRUMS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46289</v>
      </c>
      <c r="F229" t="inlineStr">
        <is>
          <t>VÄRMLANDS LÄN</t>
        </is>
      </c>
      <c r="G229" t="inlineStr">
        <is>
          <t>GRUMS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46289</v>
      </c>
      <c r="F230" t="inlineStr">
        <is>
          <t>VÄRMLANDS LÄN</t>
        </is>
      </c>
      <c r="G230" t="inlineStr">
        <is>
          <t>GRUMS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45670</v>
      </c>
      <c r="E231" s="1" t="n">
        <v>46289</v>
      </c>
      <c r="F231" t="inlineStr">
        <is>
          <t>VÄRMLANDS LÄN</t>
        </is>
      </c>
      <c r="G231" t="inlineStr">
        <is>
          <t>GRUMS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46289</v>
      </c>
      <c r="F232" t="inlineStr">
        <is>
          <t>VÄRMLANDS LÄN</t>
        </is>
      </c>
      <c r="G232" t="inlineStr">
        <is>
          <t>GRUMS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46289</v>
      </c>
      <c r="F233" t="inlineStr">
        <is>
          <t>VÄRMLANDS LÄN</t>
        </is>
      </c>
      <c r="G233" t="inlineStr">
        <is>
          <t>GRUMS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73033-2021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44550</v>
      </c>
      <c r="E234" s="1" t="n">
        <v>46289</v>
      </c>
      <c r="F234" t="inlineStr">
        <is>
          <t>VÄRMLANDS LÄN</t>
        </is>
      </c>
      <c r="G234" t="inlineStr">
        <is>
          <t>GRUMS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45776</v>
      </c>
      <c r="E235" s="1" t="n">
        <v>46289</v>
      </c>
      <c r="F235" t="inlineStr">
        <is>
          <t>VÄRMLANDS LÄN</t>
        </is>
      </c>
      <c r="G235" t="inlineStr">
        <is>
          <t>GRUMS</t>
        </is>
      </c>
      <c r="I235" t="n">
        <v>9.5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46024</v>
      </c>
      <c r="E236" s="1" t="n">
        <v>46289</v>
      </c>
      <c r="F236" t="inlineStr">
        <is>
          <t>VÄRMLANDS LÄN</t>
        </is>
      </c>
      <c r="G236" t="inlineStr">
        <is>
          <t>GRUMS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46289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46289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45708</v>
      </c>
      <c r="E239" s="1" t="n">
        <v>46289</v>
      </c>
      <c r="F239" t="inlineStr">
        <is>
          <t>VÄRMLANDS LÄN</t>
        </is>
      </c>
      <c r="G239" t="inlineStr">
        <is>
          <t>GRUMS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46289</v>
      </c>
      <c r="F240" t="inlineStr">
        <is>
          <t>VÄRMLANDS LÄN</t>
        </is>
      </c>
      <c r="G240" t="inlineStr">
        <is>
          <t>GRUMS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46289</v>
      </c>
      <c r="F241" t="inlineStr">
        <is>
          <t>VÄRMLANDS LÄN</t>
        </is>
      </c>
      <c r="G241" t="inlineStr">
        <is>
          <t>GRUMS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46289</v>
      </c>
      <c r="F242" t="inlineStr">
        <is>
          <t>VÄRMLANDS LÄN</t>
        </is>
      </c>
      <c r="G242" t="inlineStr">
        <is>
          <t>GRUMS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46289</v>
      </c>
      <c r="F243" t="inlineStr">
        <is>
          <t>VÄRMLANDS LÄN</t>
        </is>
      </c>
      <c r="G243" t="inlineStr">
        <is>
          <t>GRUMS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45188</v>
      </c>
      <c r="E244" s="1" t="n">
        <v>46289</v>
      </c>
      <c r="F244" t="inlineStr">
        <is>
          <t>VÄRMLANDS LÄN</t>
        </is>
      </c>
      <c r="G244" t="inlineStr">
        <is>
          <t>GRUMS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46289</v>
      </c>
      <c r="F245" t="inlineStr">
        <is>
          <t>VÄRMLANDS LÄN</t>
        </is>
      </c>
      <c r="G245" t="inlineStr">
        <is>
          <t>GRUMS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46289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45729</v>
      </c>
      <c r="E247" s="1" t="n">
        <v>46289</v>
      </c>
      <c r="F247" t="inlineStr">
        <is>
          <t>VÄRMLANDS LÄN</t>
        </is>
      </c>
      <c r="G247" t="inlineStr">
        <is>
          <t>GRUMS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46289</v>
      </c>
      <c r="F248" t="inlineStr">
        <is>
          <t>VÄRMLANDS LÄN</t>
        </is>
      </c>
      <c r="G248" t="inlineStr">
        <is>
          <t>GRUMS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45889</v>
      </c>
      <c r="E249" s="1" t="n">
        <v>46289</v>
      </c>
      <c r="F249" t="inlineStr">
        <is>
          <t>VÄRMLANDS LÄN</t>
        </is>
      </c>
      <c r="G249" t="inlineStr">
        <is>
          <t>GRUMS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46289</v>
      </c>
      <c r="F250" t="inlineStr">
        <is>
          <t>VÄRMLANDS LÄN</t>
        </is>
      </c>
      <c r="G250" t="inlineStr">
        <is>
          <t>GRUMS</t>
        </is>
      </c>
      <c r="H250" t="inlineStr">
        <is>
          <t>BillerudKorsnäs AB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71903-2021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44543</v>
      </c>
      <c r="E251" s="1" t="n">
        <v>46289</v>
      </c>
      <c r="F251" t="inlineStr">
        <is>
          <t>VÄRMLANDS LÄN</t>
        </is>
      </c>
      <c r="G251" t="inlineStr">
        <is>
          <t>GRUMS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46289</v>
      </c>
      <c r="F252" t="inlineStr">
        <is>
          <t>VÄRMLANDS LÄN</t>
        </is>
      </c>
      <c r="G252" t="inlineStr">
        <is>
          <t>GRUMS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46289</v>
      </c>
      <c r="F253" t="inlineStr">
        <is>
          <t>VÄRMLANDS LÄN</t>
        </is>
      </c>
      <c r="G253" t="inlineStr">
        <is>
          <t>GRUMS</t>
        </is>
      </c>
      <c r="H253" t="inlineStr">
        <is>
          <t>Kommuner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46289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23945-2026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46289</v>
      </c>
      <c r="F255" t="inlineStr">
        <is>
          <t>VÄRMLANDS LÄN</t>
        </is>
      </c>
      <c r="G255" t="inlineStr">
        <is>
          <t>GRUMS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46289</v>
      </c>
      <c r="F256" t="inlineStr">
        <is>
          <t>VÄRMLANDS LÄN</t>
        </is>
      </c>
      <c r="G256" t="inlineStr">
        <is>
          <t>GRUMS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26015-2026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46181</v>
      </c>
      <c r="E257" s="1" t="n">
        <v>46289</v>
      </c>
      <c r="F257" t="inlineStr">
        <is>
          <t>VÄRMLANDS LÄN</t>
        </is>
      </c>
      <c r="G257" t="inlineStr">
        <is>
          <t>GRUMS</t>
        </is>
      </c>
      <c r="H257" t="inlineStr">
        <is>
          <t>Kommuner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11103-2022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44628</v>
      </c>
      <c r="E258" s="1" t="n">
        <v>46289</v>
      </c>
      <c r="F258" t="inlineStr">
        <is>
          <t>VÄRMLANDS LÄN</t>
        </is>
      </c>
      <c r="G258" t="inlineStr">
        <is>
          <t>GRUMS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46289</v>
      </c>
      <c r="F259" t="inlineStr">
        <is>
          <t>VÄRMLANDS LÄN</t>
        </is>
      </c>
      <c r="G259" t="inlineStr">
        <is>
          <t>GRUMS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32302-2024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46289</v>
      </c>
      <c r="F260" t="inlineStr">
        <is>
          <t>VÄRMLANDS LÄN</t>
        </is>
      </c>
      <c r="G260" t="inlineStr">
        <is>
          <t>GRUMS</t>
        </is>
      </c>
      <c r="H260" t="inlineStr">
        <is>
          <t>Bergvik skog väst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46202</v>
      </c>
      <c r="E261" s="1" t="n">
        <v>46289</v>
      </c>
      <c r="F261" t="inlineStr">
        <is>
          <t>VÄRMLANDS LÄN</t>
        </is>
      </c>
      <c r="G261" t="inlineStr">
        <is>
          <t>GRUMS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46289</v>
      </c>
      <c r="F262" t="inlineStr">
        <is>
          <t>VÄRMLANDS LÄN</t>
        </is>
      </c>
      <c r="G262" t="inlineStr">
        <is>
          <t>GRUMS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46289</v>
      </c>
      <c r="F263" t="inlineStr">
        <is>
          <t>VÄRMLANDS LÄN</t>
        </is>
      </c>
      <c r="G263" t="inlineStr">
        <is>
          <t>GRUMS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46289</v>
      </c>
      <c r="F264" t="inlineStr">
        <is>
          <t>VÄRMLANDS LÄN</t>
        </is>
      </c>
      <c r="G264" t="inlineStr">
        <is>
          <t>GRUMS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46214</v>
      </c>
      <c r="E265" s="1" t="n">
        <v>46289</v>
      </c>
      <c r="F265" t="inlineStr">
        <is>
          <t>VÄRMLANDS LÄN</t>
        </is>
      </c>
      <c r="G265" t="inlineStr">
        <is>
          <t>GRUMS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46224</v>
      </c>
      <c r="E266" s="1" t="n">
        <v>46289</v>
      </c>
      <c r="F266" t="inlineStr">
        <is>
          <t>VÄRMLANDS LÄN</t>
        </is>
      </c>
      <c r="G266" t="inlineStr">
        <is>
          <t>GRUMS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46274</v>
      </c>
      <c r="E267" s="1" t="n">
        <v>46289</v>
      </c>
      <c r="F267" t="inlineStr">
        <is>
          <t>VÄRMLANDS LÄN</t>
        </is>
      </c>
      <c r="G267" t="inlineStr">
        <is>
          <t>GRUMS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46274</v>
      </c>
      <c r="E268" s="1" t="n">
        <v>46289</v>
      </c>
      <c r="F268" t="inlineStr">
        <is>
          <t>VÄRMLANDS LÄN</t>
        </is>
      </c>
      <c r="G268" t="inlineStr">
        <is>
          <t>GRUMS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46289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46289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46289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46289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46289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2026-09-24T01:56:44Z</dcterms:created>
  <dcterms:modified xmlns:dcterms="http://purl.org/dc/terms/" xmlns:xsi="http://www.w3.org/2001/XMLSchema-instance" xsi:type="dcterms:W3CDTF">2026-09-24T01:56:44Z</dcterms:modified>
</cp:coreProperties>
</file>