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S 2768-2026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46317</v>
      </c>
      <c r="E4" s="1" t="n">
        <v>46322</v>
      </c>
      <c r="F4" t="inlineStr">
        <is>
          <t>VÄRMLANDS LÄN</t>
        </is>
      </c>
      <c r="G4" t="inlineStr">
        <is>
          <t>GRUMS</t>
        </is>
      </c>
      <c r="I4" t="n">
        <v>1.6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Gullpudra
Dvärghäxört
Myskmadra
Springkorn
Strutbräken
Blåsippa
Äkta lopplummer</t>
        </is>
      </c>
      <c r="W4">
        <f>HYPERLINK("https://klasma.github.io/Logging_1764/artfynd/S 2768-2026 artfynd.xlsx", "S 2768-2026")</f>
        <v/>
      </c>
      <c r="X4">
        <f>HYPERLINK("https://klasma.github.io/Logging_1764/kartor/S 2768-2026 karta.png", "S 2768-2026")</f>
        <v/>
      </c>
      <c r="Y4">
        <f>HYPERLINK("https://klasma.github.io/Logging_1764/kartor_geotiff/S 2768-2026 georefererad karta.tif", "S 2768-2026")</f>
        <v/>
      </c>
      <c r="AA4">
        <f>HYPERLINK("https://klasma.github.io/Logging_1764/klagomål/S 2768-2026 FSC-klagomål.docx", "S 2768-2026")</f>
        <v/>
      </c>
      <c r="AB4">
        <f>HYPERLINK("https://klasma.github.io/Logging_1764/klagomålsmail/S 2768-2026 FSC-klagomål mail.docx", "S 2768-2026")</f>
        <v/>
      </c>
      <c r="AC4">
        <f>HYPERLINK("https://klasma.github.io/Logging_1764/tillsyn/S 2768-2026 tillsynsbegäran.docx", "S 2768-2026")</f>
        <v/>
      </c>
      <c r="AD4">
        <f>HYPERLINK("https://klasma.github.io/Logging_1764/tillsynsmail/S 2768-2026 tillsynsbegäran mail.docx", "S 2768-2026")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46322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46322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46322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46322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46322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A 34099-2026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46322</v>
      </c>
      <c r="F10" t="inlineStr">
        <is>
          <t>VÄRMLANDS LÄN</t>
        </is>
      </c>
      <c r="G10" t="inlineStr">
        <is>
          <t>GRUMS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0</v>
      </c>
      <c r="V10" s="2" t="inlineStr">
        <is>
          <t>Dofttaggsvamp
Björksplintborre
Revlummer</t>
        </is>
      </c>
      <c r="W10">
        <f>HYPERLINK("https://klasma.github.io/Logging_1764/artfynd/A 34099-2026 artfynd.xlsx", "A 34099-2026")</f>
        <v/>
      </c>
      <c r="X10">
        <f>HYPERLINK("https://klasma.github.io/Logging_1764/kartor/A 34099-2026 karta.png", "A 34099-2026")</f>
        <v/>
      </c>
      <c r="Y10">
        <f>HYPERLINK("https://klasma.github.io/Logging_1764/kartor_geotiff/A 34099-2026 georefererad karta.tif", "A 34099-2026")</f>
        <v/>
      </c>
      <c r="AA10">
        <f>HYPERLINK("https://klasma.github.io/Logging_1764/klagomål/A 34099-2026 FSC-klagomål.docx", "A 34099-2026")</f>
        <v/>
      </c>
      <c r="AB10">
        <f>HYPERLINK("https://klasma.github.io/Logging_1764/klagomålsmail/A 34099-2026 FSC-klagomål mail.docx", "A 34099-2026")</f>
        <v/>
      </c>
      <c r="AC10">
        <f>HYPERLINK("https://klasma.github.io/Logging_1764/tillsyn/A 34099-2026 tillsynsbegäran.docx", "A 34099-2026")</f>
        <v/>
      </c>
      <c r="AD10">
        <f>HYPERLINK("https://klasma.github.io/Logging_1764/tillsynsmail/A 34099-2026 tillsynsbegäran mail.docx", "A 34099-2026")</f>
        <v/>
      </c>
    </row>
    <row r="11" ht="15" customHeight="1">
      <c r="A11" t="inlineStr">
        <is>
          <t>S 755-2023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44981</v>
      </c>
      <c r="E11" s="1" t="n">
        <v>46322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79.3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Motaggsvamp
Mattlummer</t>
        </is>
      </c>
      <c r="W11">
        <f>HYPERLINK("https://klasma.github.io/Logging_1764/artfynd/S 755-2023 artfynd.xlsx", "S 755-2023")</f>
        <v/>
      </c>
      <c r="X11">
        <f>HYPERLINK("https://klasma.github.io/Logging_1764/kartor/S 755-2023 karta.png", "S 755-2023")</f>
        <v/>
      </c>
      <c r="Y11">
        <f>HYPERLINK("https://klasma.github.io/Logging_1764/kartor_geotiff/S 755-2023 georefererad karta.tif", "S 755-2023")</f>
        <v/>
      </c>
      <c r="Z11">
        <f>HYPERLINK("https://klasma.github.io/Logging_1764/knärot/S 755-2023 karta knärot.png", "S 755-2023")</f>
        <v/>
      </c>
      <c r="AA11">
        <f>HYPERLINK("https://klasma.github.io/Logging_1764/klagomål/S 755-2023 FSC-klagomål.docx", "S 755-2023")</f>
        <v/>
      </c>
      <c r="AB11">
        <f>HYPERLINK("https://klasma.github.io/Logging_1764/klagomålsmail/S 755-2023 FSC-klagomål mail.docx", "S 755-2023")</f>
        <v/>
      </c>
      <c r="AC11">
        <f>HYPERLINK("https://klasma.github.io/Logging_1764/tillsyn/S 755-2023 tillsynsbegäran.docx", "S 755-2023")</f>
        <v/>
      </c>
      <c r="AD11">
        <f>HYPERLINK("https://klasma.github.io/Logging_1764/tillsynsmail/S 755-2023 tillsynsbegäran mail.docx", "S 755-2023")</f>
        <v/>
      </c>
    </row>
    <row r="12" ht="15" customHeight="1">
      <c r="A12" t="inlineStr">
        <is>
          <t>S 2217-2023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45099</v>
      </c>
      <c r="E12" s="1" t="n">
        <v>46322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39.1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Tjäder
Lopplummer (aggregat)</t>
        </is>
      </c>
      <c r="W12">
        <f>HYPERLINK("https://klasma.github.io/Logging_1764/artfynd/S 2217-2023 artfynd.xlsx", "S 2217-2023")</f>
        <v/>
      </c>
      <c r="X12">
        <f>HYPERLINK("https://klasma.github.io/Logging_1764/kartor/S 2217-2023 karta.png", "S 2217-2023")</f>
        <v/>
      </c>
      <c r="Y12">
        <f>HYPERLINK("https://klasma.github.io/Logging_1764/kartor_geotiff/S 2217-2023 georefererad karta.tif", "S 2217-2023")</f>
        <v/>
      </c>
      <c r="AA12">
        <f>HYPERLINK("https://klasma.github.io/Logging_1764/klagomål/S 2217-2023 FSC-klagomål.docx", "S 2217-2023")</f>
        <v/>
      </c>
      <c r="AB12">
        <f>HYPERLINK("https://klasma.github.io/Logging_1764/klagomålsmail/S 2217-2023 FSC-klagomål mail.docx", "S 2217-2023")</f>
        <v/>
      </c>
      <c r="AC12">
        <f>HYPERLINK("https://klasma.github.io/Logging_1764/tillsyn/S 2217-2023 tillsynsbegäran.docx", "S 2217-2023")</f>
        <v/>
      </c>
      <c r="AD12">
        <f>HYPERLINK("https://klasma.github.io/Logging_1764/tillsynsmail/S 2217-2023 tillsynsbegäran mail.docx", "S 2217-2023")</f>
        <v/>
      </c>
      <c r="AE12">
        <f>HYPERLINK("https://klasma.github.io/Logging_1764/fåglar/S 2217-2023 prioriterade fågelarter.docx", "S 2217-2023")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46322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23860-2023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46322</v>
      </c>
      <c r="F14" t="inlineStr">
        <is>
          <t>VÄRMLANDS LÄN</t>
        </is>
      </c>
      <c r="G14" t="inlineStr">
        <is>
          <t>GRUMS</t>
        </is>
      </c>
      <c r="I14" t="n">
        <v>3.5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Gulsparv</t>
        </is>
      </c>
      <c r="W14">
        <f>HYPERLINK("https://klasma.github.io/Logging_1764/artfynd/A 23860-2023 artfynd.xlsx", "A 23860-2023")</f>
        <v/>
      </c>
      <c r="X14">
        <f>HYPERLINK("https://klasma.github.io/Logging_1764/kartor/A 23860-2023 karta.png", "A 23860-2023")</f>
        <v/>
      </c>
      <c r="Y14">
        <f>HYPERLINK("https://klasma.github.io/Logging_1764/kartor_geotiff/A 23860-2023 georefererad karta.tif", "A 23860-2023")</f>
        <v/>
      </c>
      <c r="AA14">
        <f>HYPERLINK("https://klasma.github.io/Logging_1764/klagomål/A 23860-2023 FSC-klagomål.docx", "A 23860-2023")</f>
        <v/>
      </c>
      <c r="AB14">
        <f>HYPERLINK("https://klasma.github.io/Logging_1764/klagomålsmail/A 23860-2023 FSC-klagomål mail.docx", "A 23860-2023")</f>
        <v/>
      </c>
      <c r="AC14">
        <f>HYPERLINK("https://klasma.github.io/Logging_1764/tillsyn/A 23860-2023 tillsynsbegäran.docx", "A 23860-2023")</f>
        <v/>
      </c>
      <c r="AD14">
        <f>HYPERLINK("https://klasma.github.io/Logging_1764/tillsynsmail/A 23860-2023 tillsynsbegäran mail.docx", "A 23860-2023")</f>
        <v/>
      </c>
      <c r="AE14">
        <f>HYPERLINK("https://klasma.github.io/Logging_1764/fåglar/A 23860-2023 prioriterade fågelarter.docx", "A 23860-2023")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46322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66053-2021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44517</v>
      </c>
      <c r="E16" s="1" t="n">
        <v>46322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Björksplintborre
Bronshjon</t>
        </is>
      </c>
      <c r="W16">
        <f>HYPERLINK("https://klasma.github.io/Logging_1764/artfynd/A 66053-2021 artfynd.xlsx", "A 66053-2021")</f>
        <v/>
      </c>
      <c r="X16">
        <f>HYPERLINK("https://klasma.github.io/Logging_1764/kartor/A 66053-2021 karta.png", "A 66053-2021")</f>
        <v/>
      </c>
      <c r="Y16">
        <f>HYPERLINK("https://klasma.github.io/Logging_1764/kartor_geotiff/A 66053-2021 georefererad karta.tif", "A 66053-2021")</f>
        <v/>
      </c>
      <c r="AA16">
        <f>HYPERLINK("https://klasma.github.io/Logging_1764/klagomål/A 66053-2021 FSC-klagomål.docx", "A 66053-2021")</f>
        <v/>
      </c>
      <c r="AB16">
        <f>HYPERLINK("https://klasma.github.io/Logging_1764/klagomålsmail/A 66053-2021 FSC-klagomål mail.docx", "A 66053-2021")</f>
        <v/>
      </c>
      <c r="AC16">
        <f>HYPERLINK("https://klasma.github.io/Logging_1764/tillsyn/A 66053-2021 tillsynsbegäran.docx", "A 66053-2021")</f>
        <v/>
      </c>
      <c r="AD16">
        <f>HYPERLINK("https://klasma.github.io/Logging_1764/tillsynsmail/A 66053-2021 tillsynsbegäran mail.docx", "A 66053-2021")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46322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46322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46322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46322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46322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46322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46322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17122-2024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45412</v>
      </c>
      <c r="E24" s="1" t="n">
        <v>46322</v>
      </c>
      <c r="F24" t="inlineStr">
        <is>
          <t>VÄRMLANDS LÄN</t>
        </is>
      </c>
      <c r="G24" t="inlineStr">
        <is>
          <t>GRUMS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17122-2024 artfynd.xlsx", "A 17122-2024")</f>
        <v/>
      </c>
      <c r="X24">
        <f>HYPERLINK("https://klasma.github.io/Logging_1764/kartor/A 17122-2024 karta.png", "A 17122-2024")</f>
        <v/>
      </c>
      <c r="Y24">
        <f>HYPERLINK("https://klasma.github.io/Logging_1764/kartor_geotiff/A 17122-2024 georefererad karta.tif", "A 17122-2024")</f>
        <v/>
      </c>
      <c r="AA24">
        <f>HYPERLINK("https://klasma.github.io/Logging_1764/klagomål/A 17122-2024 FSC-klagomål.docx", "A 17122-2024")</f>
        <v/>
      </c>
      <c r="AB24">
        <f>HYPERLINK("https://klasma.github.io/Logging_1764/klagomålsmail/A 17122-2024 FSC-klagomål mail.docx", "A 17122-2024")</f>
        <v/>
      </c>
      <c r="AC24">
        <f>HYPERLINK("https://klasma.github.io/Logging_1764/tillsyn/A 17122-2024 tillsynsbegäran.docx", "A 17122-2024")</f>
        <v/>
      </c>
      <c r="AD24">
        <f>HYPERLINK("https://klasma.github.io/Logging_1764/tillsynsmail/A 17122-2024 tillsynsbegäran mail.docx", "A 17122-2024")</f>
        <v/>
      </c>
    </row>
    <row r="25" ht="15" customHeight="1">
      <c r="A25" t="inlineStr">
        <is>
          <t>A 41878-2024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45561</v>
      </c>
      <c r="E25" s="1" t="n">
        <v>46322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15.9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Göktyta</t>
        </is>
      </c>
      <c r="W25">
        <f>HYPERLINK("https://klasma.github.io/Logging_1764/artfynd/A 41878-2024 artfynd.xlsx", "A 41878-2024")</f>
        <v/>
      </c>
      <c r="X25">
        <f>HYPERLINK("https://klasma.github.io/Logging_1764/kartor/A 41878-2024 karta.png", "A 41878-2024")</f>
        <v/>
      </c>
      <c r="Y25">
        <f>HYPERLINK("https://klasma.github.io/Logging_1764/kartor_geotiff/A 41878-2024 georefererad karta.tif", "A 41878-2024")</f>
        <v/>
      </c>
      <c r="AA25">
        <f>HYPERLINK("https://klasma.github.io/Logging_1764/klagomål/A 41878-2024 FSC-klagomål.docx", "A 41878-2024")</f>
        <v/>
      </c>
      <c r="AB25">
        <f>HYPERLINK("https://klasma.github.io/Logging_1764/klagomålsmail/A 41878-2024 FSC-klagomål mail.docx", "A 41878-2024")</f>
        <v/>
      </c>
      <c r="AC25">
        <f>HYPERLINK("https://klasma.github.io/Logging_1764/tillsyn/A 41878-2024 tillsynsbegäran.docx", "A 41878-2024")</f>
        <v/>
      </c>
      <c r="AD25">
        <f>HYPERLINK("https://klasma.github.io/Logging_1764/tillsynsmail/A 41878-2024 tillsynsbegäran mail.docx", "A 41878-2024")</f>
        <v/>
      </c>
      <c r="AE25">
        <f>HYPERLINK("https://klasma.github.io/Logging_1764/fåglar/A 41878-2024 prioriterade fågelarter.docx", "A 41878-2024")</f>
        <v/>
      </c>
    </row>
    <row r="26" ht="15" customHeight="1">
      <c r="A26" t="inlineStr">
        <is>
          <t>A 35077-2024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46322</v>
      </c>
      <c r="F26" t="inlineStr">
        <is>
          <t>VÄRMLANDS LÄN</t>
        </is>
      </c>
      <c r="G26" t="inlineStr">
        <is>
          <t>GRUMS</t>
        </is>
      </c>
      <c r="I26" t="n">
        <v>2.1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HYPERLINK("https://klasma.github.io/Logging_1764/artfynd/A 35077-2024 artfynd.xlsx", "A 35077-2024")</f>
        <v/>
      </c>
      <c r="X26">
        <f>HYPERLINK("https://klasma.github.io/Logging_1764/kartor/A 35077-2024 karta.png", "A 35077-2024")</f>
        <v/>
      </c>
      <c r="Y26">
        <f>HYPERLINK("https://klasma.github.io/Logging_1764/kartor_geotiff/A 35077-2024 georefererad karta.tif", "A 35077-2024")</f>
        <v/>
      </c>
      <c r="Z26">
        <f>HYPERLINK("https://klasma.github.io/Logging_1764/knärot/A 35077-2024 karta knärot.png", "A 35077-2024")</f>
        <v/>
      </c>
      <c r="AA26">
        <f>HYPERLINK("https://klasma.github.io/Logging_1764/klagomål/A 35077-2024 FSC-klagomål.docx", "A 35077-2024")</f>
        <v/>
      </c>
      <c r="AB26">
        <f>HYPERLINK("https://klasma.github.io/Logging_1764/klagomålsmail/A 35077-2024 FSC-klagomål mail.docx", "A 35077-2024")</f>
        <v/>
      </c>
      <c r="AC26">
        <f>HYPERLINK("https://klasma.github.io/Logging_1764/tillsyn/A 35077-2024 tillsynsbegäran.docx", "A 35077-2024")</f>
        <v/>
      </c>
      <c r="AD26">
        <f>HYPERLINK("https://klasma.github.io/Logging_1764/tillsynsmail/A 35077-2024 tillsynsbegäran mail.docx", "A 35077-2024")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46322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46322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13121-2023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45002</v>
      </c>
      <c r="E29" s="1" t="n">
        <v>46322</v>
      </c>
      <c r="F29" t="inlineStr">
        <is>
          <t>VÄRMLANDS LÄN</t>
        </is>
      </c>
      <c r="G29" t="inlineStr">
        <is>
          <t>GRUMS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HYPERLINK("https://klasma.github.io/Logging_1764/artfynd/A 13121-2023 artfynd.xlsx", "A 13121-2023")</f>
        <v/>
      </c>
      <c r="X29">
        <f>HYPERLINK("https://klasma.github.io/Logging_1764/kartor/A 13121-2023 karta.png", "A 13121-2023")</f>
        <v/>
      </c>
      <c r="Y29">
        <f>HYPERLINK("https://klasma.github.io/Logging_1764/kartor_geotiff/A 13121-2023 georefererad karta.tif", "A 13121-2023")</f>
        <v/>
      </c>
      <c r="AA29">
        <f>HYPERLINK("https://klasma.github.io/Logging_1764/klagomål/A 13121-2023 FSC-klagomål.docx", "A 13121-2023")</f>
        <v/>
      </c>
      <c r="AB29">
        <f>HYPERLINK("https://klasma.github.io/Logging_1764/klagomålsmail/A 13121-2023 FSC-klagomål mail.docx", "A 13121-2023")</f>
        <v/>
      </c>
      <c r="AC29">
        <f>HYPERLINK("https://klasma.github.io/Logging_1764/tillsyn/A 13121-2023 tillsynsbegäran.docx", "A 13121-2023")</f>
        <v/>
      </c>
      <c r="AD29">
        <f>HYPERLINK("https://klasma.github.io/Logging_1764/tillsynsmail/A 13121-2023 tillsynsbegäran mail.docx", "A 13121-2023")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46322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46322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10647-2024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45368</v>
      </c>
      <c r="E32" s="1" t="n">
        <v>46322</v>
      </c>
      <c r="F32" t="inlineStr">
        <is>
          <t>VÄRMLANDS LÄN</t>
        </is>
      </c>
      <c r="G32" t="inlineStr">
        <is>
          <t>GRUMS</t>
        </is>
      </c>
      <c r="I32" t="n">
        <v>4.1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Kråka</t>
        </is>
      </c>
      <c r="W32">
        <f>HYPERLINK("https://klasma.github.io/Logging_1764/artfynd/A 10647-2024 artfynd.xlsx", "A 10647-2024")</f>
        <v/>
      </c>
      <c r="X32">
        <f>HYPERLINK("https://klasma.github.io/Logging_1764/kartor/A 10647-2024 karta.png", "A 10647-2024")</f>
        <v/>
      </c>
      <c r="Y32">
        <f>HYPERLINK("https://klasma.github.io/Logging_1764/kartor_geotiff/A 10647-2024 georefererad karta.tif", "A 10647-2024")</f>
        <v/>
      </c>
      <c r="AA32">
        <f>HYPERLINK("https://klasma.github.io/Logging_1764/klagomål/A 10647-2024 FSC-klagomål.docx", "A 10647-2024")</f>
        <v/>
      </c>
      <c r="AB32">
        <f>HYPERLINK("https://klasma.github.io/Logging_1764/klagomålsmail/A 10647-2024 FSC-klagomål mail.docx", "A 10647-2024")</f>
        <v/>
      </c>
      <c r="AC32">
        <f>HYPERLINK("https://klasma.github.io/Logging_1764/tillsyn/A 10647-2024 tillsynsbegäran.docx", "A 10647-2024")</f>
        <v/>
      </c>
      <c r="AD32">
        <f>HYPERLINK("https://klasma.github.io/Logging_1764/tillsynsmail/A 10647-2024 tillsynsbegäran mail.docx", "A 10647-2024")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46322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62675-2023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46322</v>
      </c>
      <c r="F34" t="inlineStr">
        <is>
          <t>VÄRMLANDS LÄN</t>
        </is>
      </c>
      <c r="G34" t="inlineStr">
        <is>
          <t>GRUMS</t>
        </is>
      </c>
      <c r="I34" t="n">
        <v>3.4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HYPERLINK("https://klasma.github.io/Logging_1764/artfynd/A 62675-2023 artfynd.xlsx", "A 62675-2023")</f>
        <v/>
      </c>
      <c r="X34">
        <f>HYPERLINK("https://klasma.github.io/Logging_1764/kartor/A 62675-2023 karta.png", "A 62675-2023")</f>
        <v/>
      </c>
      <c r="Y34">
        <f>HYPERLINK("https://klasma.github.io/Logging_1764/kartor_geotiff/A 62675-2023 georefererad karta.tif", "A 62675-2023")</f>
        <v/>
      </c>
      <c r="AA34">
        <f>HYPERLINK("https://klasma.github.io/Logging_1764/klagomål/A 62675-2023 FSC-klagomål.docx", "A 62675-2023")</f>
        <v/>
      </c>
      <c r="AB34">
        <f>HYPERLINK("https://klasma.github.io/Logging_1764/klagomålsmail/A 62675-2023 FSC-klagomål mail.docx", "A 62675-2023")</f>
        <v/>
      </c>
      <c r="AC34">
        <f>HYPERLINK("https://klasma.github.io/Logging_1764/tillsyn/A 62675-2023 tillsynsbegäran.docx", "A 62675-2023")</f>
        <v/>
      </c>
      <c r="AD34">
        <f>HYPERLINK("https://klasma.github.io/Logging_1764/tillsynsmail/A 62675-2023 tillsynsbegäran mail.docx", "A 62675-2023")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46322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19052-2024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45427</v>
      </c>
      <c r="E36" s="1" t="n">
        <v>46322</v>
      </c>
      <c r="F36" t="inlineStr">
        <is>
          <t>VÄRMLANDS LÄN</t>
        </is>
      </c>
      <c r="G36" t="inlineStr">
        <is>
          <t>GRUMS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Skogsalm</t>
        </is>
      </c>
      <c r="W36">
        <f>HYPERLINK("https://klasma.github.io/Logging_1764/artfynd/A 19052-2024 artfynd.xlsx", "A 19052-2024")</f>
        <v/>
      </c>
      <c r="X36">
        <f>HYPERLINK("https://klasma.github.io/Logging_1764/kartor/A 19052-2024 karta.png", "A 19052-2024")</f>
        <v/>
      </c>
      <c r="Y36">
        <f>HYPERLINK("https://klasma.github.io/Logging_1764/kartor_geotiff/A 19052-2024 georefererad karta.tif", "A 19052-2024")</f>
        <v/>
      </c>
      <c r="AA36">
        <f>HYPERLINK("https://klasma.github.io/Logging_1764/klagomål/A 19052-2024 FSC-klagomål.docx", "A 19052-2024")</f>
        <v/>
      </c>
      <c r="AB36">
        <f>HYPERLINK("https://klasma.github.io/Logging_1764/klagomålsmail/A 19052-2024 FSC-klagomål mail.docx", "A 19052-2024")</f>
        <v/>
      </c>
      <c r="AC36">
        <f>HYPERLINK("https://klasma.github.io/Logging_1764/tillsyn/A 19052-2024 tillsynsbegäran.docx", "A 19052-2024")</f>
        <v/>
      </c>
      <c r="AD36">
        <f>HYPERLINK("https://klasma.github.io/Logging_1764/tillsynsmail/A 19052-2024 tillsynsbegäran mail.docx", "A 19052-2024")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46322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37339-2022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46322</v>
      </c>
      <c r="F38" t="inlineStr">
        <is>
          <t>VÄRMLANDS LÄN</t>
        </is>
      </c>
      <c r="G38" t="inlineStr">
        <is>
          <t>GRUMS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37339-2022 artfynd.xlsx", "A 37339-2022")</f>
        <v/>
      </c>
      <c r="X38">
        <f>HYPERLINK("https://klasma.github.io/Logging_1764/kartor/A 37339-2022 karta.png", "A 37339-2022")</f>
        <v/>
      </c>
      <c r="Y38">
        <f>HYPERLINK("https://klasma.github.io/Logging_1764/kartor_geotiff/A 37339-2022 georefererad karta.tif", "A 37339-2022")</f>
        <v/>
      </c>
      <c r="AA38">
        <f>HYPERLINK("https://klasma.github.io/Logging_1764/klagomål/A 37339-2022 FSC-klagomål.docx", "A 37339-2022")</f>
        <v/>
      </c>
      <c r="AB38">
        <f>HYPERLINK("https://klasma.github.io/Logging_1764/klagomålsmail/A 37339-2022 FSC-klagomål mail.docx", "A 37339-2022")</f>
        <v/>
      </c>
      <c r="AC38">
        <f>HYPERLINK("https://klasma.github.io/Logging_1764/tillsyn/A 37339-2022 tillsynsbegäran.docx", "A 37339-2022")</f>
        <v/>
      </c>
      <c r="AD38">
        <f>HYPERLINK("https://klasma.github.io/Logging_1764/tillsynsmail/A 37339-2022 tillsynsbegäran mail.docx", "A 37339-2022")</f>
        <v/>
      </c>
    </row>
    <row r="39" ht="15" customHeight="1">
      <c r="A39" t="inlineStr">
        <is>
          <t>A 8363-2025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46322</v>
      </c>
      <c r="F39" t="inlineStr">
        <is>
          <t>VÄRMLANDS LÄN</t>
        </is>
      </c>
      <c r="G39" t="inlineStr">
        <is>
          <t>GRUMS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Mandelriska</t>
        </is>
      </c>
      <c r="W39">
        <f>HYPERLINK("https://klasma.github.io/Logging_1764/artfynd/A 8363-2025 artfynd.xlsx", "A 8363-2025")</f>
        <v/>
      </c>
      <c r="X39">
        <f>HYPERLINK("https://klasma.github.io/Logging_1764/kartor/A 8363-2025 karta.png", "A 8363-2025")</f>
        <v/>
      </c>
      <c r="Y39">
        <f>HYPERLINK("https://klasma.github.io/Logging_1764/kartor_geotiff/A 8363-2025 georefererad karta.tif", "A 8363-2025")</f>
        <v/>
      </c>
      <c r="AA39">
        <f>HYPERLINK("https://klasma.github.io/Logging_1764/klagomål/A 8363-2025 FSC-klagomål.docx", "A 8363-2025")</f>
        <v/>
      </c>
      <c r="AB39">
        <f>HYPERLINK("https://klasma.github.io/Logging_1764/klagomålsmail/A 8363-2025 FSC-klagomål mail.docx", "A 8363-2025")</f>
        <v/>
      </c>
      <c r="AC39">
        <f>HYPERLINK("https://klasma.github.io/Logging_1764/tillsyn/A 8363-2025 tillsynsbegäran.docx", "A 8363-2025")</f>
        <v/>
      </c>
      <c r="AD39">
        <f>HYPERLINK("https://klasma.github.io/Logging_1764/tillsynsmail/A 8363-2025 tillsynsbegäran mail.docx", "A 8363-2025")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46322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46322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46322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46322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46322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46322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46322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46322</v>
      </c>
      <c r="F47" t="inlineStr">
        <is>
          <t>VÄRMLANDS LÄN</t>
        </is>
      </c>
      <c r="G47" t="inlineStr">
        <is>
          <t>GRUMS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43806-2022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44838</v>
      </c>
      <c r="E48" s="1" t="n">
        <v>46322</v>
      </c>
      <c r="F48" t="inlineStr">
        <is>
          <t>VÄRMLANDS LÄN</t>
        </is>
      </c>
      <c r="G48" t="inlineStr">
        <is>
          <t>GRUMS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44690</v>
      </c>
      <c r="E49" s="1" t="n">
        <v>46322</v>
      </c>
      <c r="F49" t="inlineStr">
        <is>
          <t>VÄRMLANDS LÄN</t>
        </is>
      </c>
      <c r="G49" t="inlineStr">
        <is>
          <t>GRUMS</t>
        </is>
      </c>
      <c r="H49" t="inlineStr">
        <is>
          <t>Bergvik skog väst AB</t>
        </is>
      </c>
      <c r="I49" t="n">
        <v>11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46322</v>
      </c>
      <c r="F50" t="inlineStr">
        <is>
          <t>VÄRMLANDS LÄN</t>
        </is>
      </c>
      <c r="G50" t="inlineStr">
        <is>
          <t>GRUMS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44694</v>
      </c>
      <c r="E51" s="1" t="n">
        <v>46322</v>
      </c>
      <c r="F51" t="inlineStr">
        <is>
          <t>VÄRMLANDS LÄN</t>
        </is>
      </c>
      <c r="G51" t="inlineStr">
        <is>
          <t>GRUMS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27729-2022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46322</v>
      </c>
      <c r="F52" t="inlineStr">
        <is>
          <t>VÄRMLANDS LÄN</t>
        </is>
      </c>
      <c r="G52" t="inlineStr">
        <is>
          <t>GRUMS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46322</v>
      </c>
      <c r="F53" t="inlineStr">
        <is>
          <t>VÄRMLANDS LÄN</t>
        </is>
      </c>
      <c r="G53" t="inlineStr">
        <is>
          <t>GRUMS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61306-2021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44498</v>
      </c>
      <c r="E54" s="1" t="n">
        <v>46322</v>
      </c>
      <c r="F54" t="inlineStr">
        <is>
          <t>VÄRMLANDS LÄN</t>
        </is>
      </c>
      <c r="G54" t="inlineStr">
        <is>
          <t>GRUMS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46322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44762</v>
      </c>
      <c r="E56" s="1" t="n">
        <v>46322</v>
      </c>
      <c r="F56" t="inlineStr">
        <is>
          <t>VÄRMLANDS LÄN</t>
        </is>
      </c>
      <c r="G56" t="inlineStr">
        <is>
          <t>GRUMS</t>
        </is>
      </c>
      <c r="I56" t="n">
        <v>10.2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46322</v>
      </c>
      <c r="F57" t="inlineStr">
        <is>
          <t>VÄRMLANDS LÄN</t>
        </is>
      </c>
      <c r="G57" t="inlineStr">
        <is>
          <t>GRUMS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44627</v>
      </c>
      <c r="E58" s="1" t="n">
        <v>46322</v>
      </c>
      <c r="F58" t="inlineStr">
        <is>
          <t>VÄRMLANDS LÄN</t>
        </is>
      </c>
      <c r="G58" t="inlineStr">
        <is>
          <t>GRUMS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46322</v>
      </c>
      <c r="F59" t="inlineStr">
        <is>
          <t>VÄRMLANDS LÄN</t>
        </is>
      </c>
      <c r="G59" t="inlineStr">
        <is>
          <t>GRUMS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54444-2022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46322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44806</v>
      </c>
      <c r="E61" s="1" t="n">
        <v>46322</v>
      </c>
      <c r="F61" t="inlineStr">
        <is>
          <t>VÄRMLANDS LÄN</t>
        </is>
      </c>
      <c r="G61" t="inlineStr">
        <is>
          <t>GRUMS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46322</v>
      </c>
      <c r="F62" t="inlineStr">
        <is>
          <t>VÄRMLANDS LÄN</t>
        </is>
      </c>
      <c r="G62" t="inlineStr">
        <is>
          <t>GRUMS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44577</v>
      </c>
      <c r="E63" s="1" t="n">
        <v>46322</v>
      </c>
      <c r="F63" t="inlineStr">
        <is>
          <t>VÄRMLANDS LÄN</t>
        </is>
      </c>
      <c r="G63" t="inlineStr">
        <is>
          <t>GRUMS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46322</v>
      </c>
      <c r="F64" t="inlineStr">
        <is>
          <t>VÄRMLANDS LÄN</t>
        </is>
      </c>
      <c r="G64" t="inlineStr">
        <is>
          <t>GRUMS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44760</v>
      </c>
      <c r="E65" s="1" t="n">
        <v>46322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46322</v>
      </c>
      <c r="F66" t="inlineStr">
        <is>
          <t>VÄRMLANDS LÄN</t>
        </is>
      </c>
      <c r="G66" t="inlineStr">
        <is>
          <t>GRUMS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46322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30527-2022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44762</v>
      </c>
      <c r="E68" s="1" t="n">
        <v>46322</v>
      </c>
      <c r="F68" t="inlineStr">
        <is>
          <t>VÄRMLANDS LÄN</t>
        </is>
      </c>
      <c r="G68" t="inlineStr">
        <is>
          <t>GRUMS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46322</v>
      </c>
      <c r="F69" t="inlineStr">
        <is>
          <t>VÄRMLANDS LÄN</t>
        </is>
      </c>
      <c r="G69" t="inlineStr">
        <is>
          <t>GRUMS</t>
        </is>
      </c>
      <c r="I69" t="n">
        <v>14.3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44958</v>
      </c>
      <c r="E70" s="1" t="n">
        <v>46322</v>
      </c>
      <c r="F70" t="inlineStr">
        <is>
          <t>VÄRMLANDS LÄN</t>
        </is>
      </c>
      <c r="G70" t="inlineStr">
        <is>
          <t>GRUMS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73901-2021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46322</v>
      </c>
      <c r="F71" t="inlineStr">
        <is>
          <t>VÄRMLANDS LÄN</t>
        </is>
      </c>
      <c r="G71" t="inlineStr">
        <is>
          <t>GRUMS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46322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46322</v>
      </c>
      <c r="F73" t="inlineStr">
        <is>
          <t>VÄRMLANDS LÄN</t>
        </is>
      </c>
      <c r="G73" t="inlineStr">
        <is>
          <t>GRUMS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46322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46322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46322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46322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9837-2023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46322</v>
      </c>
      <c r="F78" t="inlineStr">
        <is>
          <t>VÄRMLANDS LÄN</t>
        </is>
      </c>
      <c r="G78" t="inlineStr">
        <is>
          <t>GRUMS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46322</v>
      </c>
      <c r="F79" t="inlineStr">
        <is>
          <t>VÄRMLANDS LÄN</t>
        </is>
      </c>
      <c r="G79" t="inlineStr">
        <is>
          <t>GRUMS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45474</v>
      </c>
      <c r="E80" s="1" t="n">
        <v>46322</v>
      </c>
      <c r="F80" t="inlineStr">
        <is>
          <t>VÄRMLANDS LÄN</t>
        </is>
      </c>
      <c r="G80" t="inlineStr">
        <is>
          <t>GRUMS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46322</v>
      </c>
      <c r="F81" t="inlineStr">
        <is>
          <t>VÄRMLANDS LÄN</t>
        </is>
      </c>
      <c r="G81" t="inlineStr">
        <is>
          <t>GRUMS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46322</v>
      </c>
      <c r="F82" t="inlineStr">
        <is>
          <t>VÄRMLANDS LÄN</t>
        </is>
      </c>
      <c r="G82" t="inlineStr">
        <is>
          <t>GRUMS</t>
        </is>
      </c>
      <c r="I82" t="n">
        <v>18.2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46322</v>
      </c>
      <c r="F83" t="inlineStr">
        <is>
          <t>VÄRMLANDS LÄN</t>
        </is>
      </c>
      <c r="G83" t="inlineStr">
        <is>
          <t>GRUMS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45113</v>
      </c>
      <c r="E84" s="1" t="n">
        <v>46322</v>
      </c>
      <c r="F84" t="inlineStr">
        <is>
          <t>VÄRMLANDS LÄN</t>
        </is>
      </c>
      <c r="G84" t="inlineStr">
        <is>
          <t>GRUMS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46322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46322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46322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46322</v>
      </c>
      <c r="F88" t="inlineStr">
        <is>
          <t>VÄRMLANDS LÄN</t>
        </is>
      </c>
      <c r="G88" t="inlineStr">
        <is>
          <t>GRUMS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46322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46322</v>
      </c>
      <c r="F90" t="inlineStr">
        <is>
          <t>VÄRMLANDS LÄN</t>
        </is>
      </c>
      <c r="G90" t="inlineStr">
        <is>
          <t>GRUMS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46322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46322</v>
      </c>
      <c r="F92" t="inlineStr">
        <is>
          <t>VÄRMLANDS LÄN</t>
        </is>
      </c>
      <c r="G92" t="inlineStr">
        <is>
          <t>GRUMS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45546</v>
      </c>
      <c r="E93" s="1" t="n">
        <v>46322</v>
      </c>
      <c r="F93" t="inlineStr">
        <is>
          <t>VÄRMLANDS LÄN</t>
        </is>
      </c>
      <c r="G93" t="inlineStr">
        <is>
          <t>GRUMS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46322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46322</v>
      </c>
      <c r="F95" t="inlineStr">
        <is>
          <t>VÄRMLANDS LÄN</t>
        </is>
      </c>
      <c r="G95" t="inlineStr">
        <is>
          <t>GRUMS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46322</v>
      </c>
      <c r="F96" t="inlineStr">
        <is>
          <t>VÄRMLANDS LÄN</t>
        </is>
      </c>
      <c r="G96" t="inlineStr">
        <is>
          <t>GRUMS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46322</v>
      </c>
      <c r="F97" t="inlineStr">
        <is>
          <t>VÄRMLANDS LÄN</t>
        </is>
      </c>
      <c r="G97" t="inlineStr">
        <is>
          <t>GRUMS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46322</v>
      </c>
      <c r="F98" t="inlineStr">
        <is>
          <t>VÄRMLANDS LÄN</t>
        </is>
      </c>
      <c r="G98" t="inlineStr">
        <is>
          <t>GRUMS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46322</v>
      </c>
      <c r="F99" t="inlineStr">
        <is>
          <t>VÄRMLANDS LÄN</t>
        </is>
      </c>
      <c r="G99" t="inlineStr">
        <is>
          <t>GRUMS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45153</v>
      </c>
      <c r="E100" s="1" t="n">
        <v>46322</v>
      </c>
      <c r="F100" t="inlineStr">
        <is>
          <t>VÄRMLANDS LÄN</t>
        </is>
      </c>
      <c r="G100" t="inlineStr">
        <is>
          <t>GRUMS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46322</v>
      </c>
      <c r="F101" t="inlineStr">
        <is>
          <t>VÄRMLANDS LÄN</t>
        </is>
      </c>
      <c r="G101" t="inlineStr">
        <is>
          <t>GRUMS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46322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46322</v>
      </c>
      <c r="F103" t="inlineStr">
        <is>
          <t>VÄRMLANDS LÄN</t>
        </is>
      </c>
      <c r="G103" t="inlineStr">
        <is>
          <t>GRUMS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45427</v>
      </c>
      <c r="E104" s="1" t="n">
        <v>46322</v>
      </c>
      <c r="F104" t="inlineStr">
        <is>
          <t>VÄRMLANDS LÄN</t>
        </is>
      </c>
      <c r="G104" t="inlineStr">
        <is>
          <t>GRUMS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45727</v>
      </c>
      <c r="E105" s="1" t="n">
        <v>46322</v>
      </c>
      <c r="F105" t="inlineStr">
        <is>
          <t>VÄRMLANDS LÄN</t>
        </is>
      </c>
      <c r="G105" t="inlineStr">
        <is>
          <t>GRUMS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46322</v>
      </c>
      <c r="F106" t="inlineStr">
        <is>
          <t>VÄRMLANDS LÄN</t>
        </is>
      </c>
      <c r="G106" t="inlineStr">
        <is>
          <t>GRUMS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46322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46322</v>
      </c>
      <c r="F108" t="inlineStr">
        <is>
          <t>VÄRMLANDS LÄN</t>
        </is>
      </c>
      <c r="G108" t="inlineStr">
        <is>
          <t>GRUMS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45956</v>
      </c>
      <c r="E109" s="1" t="n">
        <v>46322</v>
      </c>
      <c r="F109" t="inlineStr">
        <is>
          <t>VÄRMLANDS LÄN</t>
        </is>
      </c>
      <c r="G109" t="inlineStr">
        <is>
          <t>GRUMS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46322</v>
      </c>
      <c r="F110" t="inlineStr">
        <is>
          <t>VÄRMLANDS LÄN</t>
        </is>
      </c>
      <c r="G110" t="inlineStr">
        <is>
          <t>GRUMS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45484</v>
      </c>
      <c r="E111" s="1" t="n">
        <v>46322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45956</v>
      </c>
      <c r="E112" s="1" t="n">
        <v>46322</v>
      </c>
      <c r="F112" t="inlineStr">
        <is>
          <t>VÄRMLANDS LÄN</t>
        </is>
      </c>
      <c r="G112" t="inlineStr">
        <is>
          <t>GRUMS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46322</v>
      </c>
      <c r="F113" t="inlineStr">
        <is>
          <t>VÄRMLANDS LÄN</t>
        </is>
      </c>
      <c r="G113" t="inlineStr">
        <is>
          <t>GRUMS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46322</v>
      </c>
      <c r="F114" t="inlineStr">
        <is>
          <t>VÄRMLANDS LÄN</t>
        </is>
      </c>
      <c r="G114" t="inlineStr">
        <is>
          <t>GRUMS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46322</v>
      </c>
      <c r="F115" t="inlineStr">
        <is>
          <t>VÄRMLANDS LÄN</t>
        </is>
      </c>
      <c r="G115" t="inlineStr">
        <is>
          <t>GRUMS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46322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22537-2025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45787</v>
      </c>
      <c r="E117" s="1" t="n">
        <v>46322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46322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46322</v>
      </c>
      <c r="F119" t="inlineStr">
        <is>
          <t>VÄRMLANDS LÄN</t>
        </is>
      </c>
      <c r="G119" t="inlineStr">
        <is>
          <t>GRUMS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44760</v>
      </c>
      <c r="E120" s="1" t="n">
        <v>46322</v>
      </c>
      <c r="F120" t="inlineStr">
        <is>
          <t>VÄRMLANDS LÄN</t>
        </is>
      </c>
      <c r="G120" t="inlineStr">
        <is>
          <t>GRUMS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46322</v>
      </c>
      <c r="F121" t="inlineStr">
        <is>
          <t>VÄRMLANDS LÄN</t>
        </is>
      </c>
      <c r="G121" t="inlineStr">
        <is>
          <t>GRUMS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46322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46322</v>
      </c>
      <c r="F123" t="inlineStr">
        <is>
          <t>VÄRMLANDS LÄN</t>
        </is>
      </c>
      <c r="G123" t="inlineStr">
        <is>
          <t>GRUMS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46322</v>
      </c>
      <c r="F124" t="inlineStr">
        <is>
          <t>VÄRMLANDS LÄN</t>
        </is>
      </c>
      <c r="G124" t="inlineStr">
        <is>
          <t>GRUMS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46322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46322</v>
      </c>
      <c r="F126" t="inlineStr">
        <is>
          <t>VÄRMLANDS LÄN</t>
        </is>
      </c>
      <c r="G126" t="inlineStr">
        <is>
          <t>GRUMS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45441</v>
      </c>
      <c r="E127" s="1" t="n">
        <v>46322</v>
      </c>
      <c r="F127" t="inlineStr">
        <is>
          <t>VÄRMLANDS LÄN</t>
        </is>
      </c>
      <c r="G127" t="inlineStr">
        <is>
          <t>GRUMS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46322</v>
      </c>
      <c r="F128" t="inlineStr">
        <is>
          <t>VÄRMLANDS LÄN</t>
        </is>
      </c>
      <c r="G128" t="inlineStr">
        <is>
          <t>GRUMS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46322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46322</v>
      </c>
      <c r="F130" t="inlineStr">
        <is>
          <t>VÄRMLANDS LÄN</t>
        </is>
      </c>
      <c r="G130" t="inlineStr">
        <is>
          <t>GRUMS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28513-2026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46322</v>
      </c>
      <c r="F131" t="inlineStr">
        <is>
          <t>VÄRMLANDS LÄN</t>
        </is>
      </c>
      <c r="G131" t="inlineStr">
        <is>
          <t>GRUMS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46322</v>
      </c>
      <c r="F132" t="inlineStr">
        <is>
          <t>VÄRMLANDS LÄN</t>
        </is>
      </c>
      <c r="G132" t="inlineStr">
        <is>
          <t>GRUMS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46322</v>
      </c>
      <c r="F133" t="inlineStr">
        <is>
          <t>VÄRMLANDS LÄN</t>
        </is>
      </c>
      <c r="G133" t="inlineStr">
        <is>
          <t>GRUMS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46322</v>
      </c>
      <c r="F134" t="inlineStr">
        <is>
          <t>VÄRMLANDS LÄN</t>
        </is>
      </c>
      <c r="G134" t="inlineStr">
        <is>
          <t>GRUMS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45049</v>
      </c>
      <c r="E135" s="1" t="n">
        <v>46322</v>
      </c>
      <c r="F135" t="inlineStr">
        <is>
          <t>VÄRMLANDS LÄN</t>
        </is>
      </c>
      <c r="G135" t="inlineStr">
        <is>
          <t>GRUMS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46322</v>
      </c>
      <c r="F136" t="inlineStr">
        <is>
          <t>VÄRMLANDS LÄN</t>
        </is>
      </c>
      <c r="G136" t="inlineStr">
        <is>
          <t>GRUMS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46322</v>
      </c>
      <c r="F137" t="inlineStr">
        <is>
          <t>VÄRMLANDS LÄN</t>
        </is>
      </c>
      <c r="G137" t="inlineStr">
        <is>
          <t>GRUMS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46202</v>
      </c>
      <c r="E138" s="1" t="n">
        <v>46322</v>
      </c>
      <c r="F138" t="inlineStr">
        <is>
          <t>VÄRMLANDS LÄN</t>
        </is>
      </c>
      <c r="G138" t="inlineStr">
        <is>
          <t>GRUMS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46322</v>
      </c>
      <c r="F139" t="inlineStr">
        <is>
          <t>VÄRMLANDS LÄN</t>
        </is>
      </c>
      <c r="G139" t="inlineStr">
        <is>
          <t>GRUMS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59391-2025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45989</v>
      </c>
      <c r="E140" s="1" t="n">
        <v>46322</v>
      </c>
      <c r="F140" t="inlineStr">
        <is>
          <t>VÄRMLANDS LÄN</t>
        </is>
      </c>
      <c r="G140" t="inlineStr">
        <is>
          <t>GRUMS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45708</v>
      </c>
      <c r="E141" s="1" t="n">
        <v>46322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46322</v>
      </c>
      <c r="F142" t="inlineStr">
        <is>
          <t>VÄRMLANDS LÄN</t>
        </is>
      </c>
      <c r="G142" t="inlineStr">
        <is>
          <t>GRUMS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46322</v>
      </c>
      <c r="F143" t="inlineStr">
        <is>
          <t>VÄRMLANDS LÄN</t>
        </is>
      </c>
      <c r="G143" t="inlineStr">
        <is>
          <t>GRUMS</t>
        </is>
      </c>
      <c r="I143" t="n">
        <v>13.8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69847-2021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46322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45635</v>
      </c>
      <c r="E145" s="1" t="n">
        <v>46322</v>
      </c>
      <c r="F145" t="inlineStr">
        <is>
          <t>VÄRMLANDS LÄN</t>
        </is>
      </c>
      <c r="G145" t="inlineStr">
        <is>
          <t>GRUMS</t>
        </is>
      </c>
      <c r="H145" t="inlineStr">
        <is>
          <t>Bergvik skog väst AB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45836</v>
      </c>
      <c r="E146" s="1" t="n">
        <v>46322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46322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46322</v>
      </c>
      <c r="F148" t="inlineStr">
        <is>
          <t>VÄRMLANDS LÄN</t>
        </is>
      </c>
      <c r="G148" t="inlineStr">
        <is>
          <t>GRUMS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46322</v>
      </c>
      <c r="F149" t="inlineStr">
        <is>
          <t>VÄRMLANDS LÄN</t>
        </is>
      </c>
      <c r="G149" t="inlineStr">
        <is>
          <t>GRUMS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46322</v>
      </c>
      <c r="F150" t="inlineStr">
        <is>
          <t>VÄRMLANDS LÄN</t>
        </is>
      </c>
      <c r="G150" t="inlineStr">
        <is>
          <t>GRUMS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46322</v>
      </c>
      <c r="F151" t="inlineStr">
        <is>
          <t>VÄRMLANDS LÄN</t>
        </is>
      </c>
      <c r="G151" t="inlineStr">
        <is>
          <t>GRUMS</t>
        </is>
      </c>
      <c r="H151" t="inlineStr">
        <is>
          <t>Bergvik skog väst AB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46039</v>
      </c>
      <c r="E152" s="1" t="n">
        <v>46322</v>
      </c>
      <c r="F152" t="inlineStr">
        <is>
          <t>VÄRMLANDS LÄN</t>
        </is>
      </c>
      <c r="G152" t="inlineStr">
        <is>
          <t>GRUMS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46322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45467</v>
      </c>
      <c r="E154" s="1" t="n">
        <v>46322</v>
      </c>
      <c r="F154" t="inlineStr">
        <is>
          <t>VÄRMLANDS LÄN</t>
        </is>
      </c>
      <c r="G154" t="inlineStr">
        <is>
          <t>GRUMS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46322</v>
      </c>
      <c r="F155" t="inlineStr">
        <is>
          <t>VÄRMLANDS LÄN</t>
        </is>
      </c>
      <c r="G155" t="inlineStr">
        <is>
          <t>GRUMS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45877</v>
      </c>
      <c r="E156" s="1" t="n">
        <v>46322</v>
      </c>
      <c r="F156" t="inlineStr">
        <is>
          <t>VÄRMLANDS LÄN</t>
        </is>
      </c>
      <c r="G156" t="inlineStr">
        <is>
          <t>GRUMS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45877</v>
      </c>
      <c r="E157" s="1" t="n">
        <v>46322</v>
      </c>
      <c r="F157" t="inlineStr">
        <is>
          <t>VÄRMLANDS LÄN</t>
        </is>
      </c>
      <c r="G157" t="inlineStr">
        <is>
          <t>GRUMS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37676-2023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45159</v>
      </c>
      <c r="E158" s="1" t="n">
        <v>46322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46322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46322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44795</v>
      </c>
      <c r="E161" s="1" t="n">
        <v>46322</v>
      </c>
      <c r="F161" t="inlineStr">
        <is>
          <t>VÄRMLANDS LÄN</t>
        </is>
      </c>
      <c r="G161" t="inlineStr">
        <is>
          <t>GRUMS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44635</v>
      </c>
      <c r="E162" s="1" t="n">
        <v>46322</v>
      </c>
      <c r="F162" t="inlineStr">
        <is>
          <t>VÄRMLANDS LÄN</t>
        </is>
      </c>
      <c r="G162" t="inlineStr">
        <is>
          <t>GRUMS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44831</v>
      </c>
      <c r="E163" s="1" t="n">
        <v>46322</v>
      </c>
      <c r="F163" t="inlineStr">
        <is>
          <t>VÄRMLANDS LÄN</t>
        </is>
      </c>
      <c r="G163" t="inlineStr">
        <is>
          <t>GRUMS</t>
        </is>
      </c>
      <c r="I163" t="n">
        <v>13.7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35253-2022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46322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46322</v>
      </c>
      <c r="F165" t="inlineStr">
        <is>
          <t>VÄRMLANDS LÄN</t>
        </is>
      </c>
      <c r="G165" t="inlineStr">
        <is>
          <t>GRUMS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46214</v>
      </c>
      <c r="E166" s="1" t="n">
        <v>46322</v>
      </c>
      <c r="F166" t="inlineStr">
        <is>
          <t>VÄRMLANDS LÄN</t>
        </is>
      </c>
      <c r="G166" t="inlineStr">
        <is>
          <t>GRUMS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46322</v>
      </c>
      <c r="F167" t="inlineStr">
        <is>
          <t>VÄRMLANDS LÄN</t>
        </is>
      </c>
      <c r="G167" t="inlineStr">
        <is>
          <t>GRUMS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45757</v>
      </c>
      <c r="E168" s="1" t="n">
        <v>46322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31362-2024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45505</v>
      </c>
      <c r="E169" s="1" t="n">
        <v>46322</v>
      </c>
      <c r="F169" t="inlineStr">
        <is>
          <t>VÄRMLANDS LÄN</t>
        </is>
      </c>
      <c r="G169" t="inlineStr">
        <is>
          <t>GRUMS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46224</v>
      </c>
      <c r="E170" s="1" t="n">
        <v>46322</v>
      </c>
      <c r="F170" t="inlineStr">
        <is>
          <t>VÄRMLANDS LÄN</t>
        </is>
      </c>
      <c r="G170" t="inlineStr">
        <is>
          <t>GRUMS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46087</v>
      </c>
      <c r="E171" s="1" t="n">
        <v>46322</v>
      </c>
      <c r="F171" t="inlineStr">
        <is>
          <t>VÄRMLANDS LÄN</t>
        </is>
      </c>
      <c r="G171" t="inlineStr">
        <is>
          <t>GRUMS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46322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46322</v>
      </c>
      <c r="F173" t="inlineStr">
        <is>
          <t>VÄRMLANDS LÄN</t>
        </is>
      </c>
      <c r="G173" t="inlineStr">
        <is>
          <t>GRUMS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45350</v>
      </c>
      <c r="E174" s="1" t="n">
        <v>46322</v>
      </c>
      <c r="F174" t="inlineStr">
        <is>
          <t>VÄRMLANDS LÄN</t>
        </is>
      </c>
      <c r="G174" t="inlineStr">
        <is>
          <t>GRUMS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46322</v>
      </c>
      <c r="F175" t="inlineStr">
        <is>
          <t>VÄRMLANDS LÄN</t>
        </is>
      </c>
      <c r="G175" t="inlineStr">
        <is>
          <t>GRUMS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46322</v>
      </c>
      <c r="F176" t="inlineStr">
        <is>
          <t>VÄRMLANDS LÄN</t>
        </is>
      </c>
      <c r="G176" t="inlineStr">
        <is>
          <t>GRUMS</t>
        </is>
      </c>
      <c r="I176" t="n">
        <v>22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14688-2026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46101</v>
      </c>
      <c r="E177" s="1" t="n">
        <v>46322</v>
      </c>
      <c r="F177" t="inlineStr">
        <is>
          <t>VÄRMLANDS LÄN</t>
        </is>
      </c>
      <c r="G177" t="inlineStr">
        <is>
          <t>GRUMS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46322</v>
      </c>
      <c r="F178" t="inlineStr">
        <is>
          <t>VÄRMLANDS LÄN</t>
        </is>
      </c>
      <c r="G178" t="inlineStr">
        <is>
          <t>GRUMS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46322</v>
      </c>
      <c r="F179" t="inlineStr">
        <is>
          <t>VÄRMLANDS LÄN</t>
        </is>
      </c>
      <c r="G179" t="inlineStr">
        <is>
          <t>GRUMS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46322</v>
      </c>
      <c r="F180" t="inlineStr">
        <is>
          <t>VÄRMLANDS LÄN</t>
        </is>
      </c>
      <c r="G180" t="inlineStr">
        <is>
          <t>GRUMS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45358</v>
      </c>
      <c r="E181" s="1" t="n">
        <v>46322</v>
      </c>
      <c r="F181" t="inlineStr">
        <is>
          <t>VÄRMLANDS LÄN</t>
        </is>
      </c>
      <c r="G181" t="inlineStr">
        <is>
          <t>GRUMS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62682-2023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45271</v>
      </c>
      <c r="E182" s="1" t="n">
        <v>46322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46322</v>
      </c>
      <c r="F183" t="inlineStr">
        <is>
          <t>VÄRMLANDS LÄN</t>
        </is>
      </c>
      <c r="G183" t="inlineStr">
        <is>
          <t>GRUMS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46322</v>
      </c>
      <c r="F184" t="inlineStr">
        <is>
          <t>VÄRMLANDS LÄN</t>
        </is>
      </c>
      <c r="G184" t="inlineStr">
        <is>
          <t>GRUMS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31930-2024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45510</v>
      </c>
      <c r="E185" s="1" t="n">
        <v>46322</v>
      </c>
      <c r="F185" t="inlineStr">
        <is>
          <t>VÄRMLANDS LÄN</t>
        </is>
      </c>
      <c r="G185" t="inlineStr">
        <is>
          <t>GRUMS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46322</v>
      </c>
      <c r="F186" t="inlineStr">
        <is>
          <t>VÄRMLANDS LÄN</t>
        </is>
      </c>
      <c r="G186" t="inlineStr">
        <is>
          <t>GRUMS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40935-2022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44823</v>
      </c>
      <c r="E187" s="1" t="n">
        <v>46322</v>
      </c>
      <c r="F187" t="inlineStr">
        <is>
          <t>VÄRMLANDS LÄN</t>
        </is>
      </c>
      <c r="G187" t="inlineStr">
        <is>
          <t>GRUMS</t>
        </is>
      </c>
      <c r="H187" t="inlineStr">
        <is>
          <t>Bergvik skog väst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45343</v>
      </c>
      <c r="E188" s="1" t="n">
        <v>46322</v>
      </c>
      <c r="F188" t="inlineStr">
        <is>
          <t>VÄRMLANDS LÄN</t>
        </is>
      </c>
      <c r="G188" t="inlineStr">
        <is>
          <t>GRUMS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46322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46322</v>
      </c>
      <c r="F190" t="inlineStr">
        <is>
          <t>VÄRMLANDS LÄN</t>
        </is>
      </c>
      <c r="G190" t="inlineStr">
        <is>
          <t>GRUMS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46322</v>
      </c>
      <c r="F191" t="inlineStr">
        <is>
          <t>VÄRMLANDS LÄN</t>
        </is>
      </c>
      <c r="G191" t="inlineStr">
        <is>
          <t>GRUMS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45011</v>
      </c>
      <c r="E192" s="1" t="n">
        <v>46322</v>
      </c>
      <c r="F192" t="inlineStr">
        <is>
          <t>VÄRMLANDS LÄN</t>
        </is>
      </c>
      <c r="G192" t="inlineStr">
        <is>
          <t>GRUMS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46024</v>
      </c>
      <c r="E193" s="1" t="n">
        <v>46322</v>
      </c>
      <c r="F193" t="inlineStr">
        <is>
          <t>VÄRMLANDS LÄN</t>
        </is>
      </c>
      <c r="G193" t="inlineStr">
        <is>
          <t>GRUMS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46322</v>
      </c>
      <c r="F194" t="inlineStr">
        <is>
          <t>VÄRMLANDS LÄN</t>
        </is>
      </c>
      <c r="G194" t="inlineStr">
        <is>
          <t>GRUMS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46322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46322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45776</v>
      </c>
      <c r="E197" s="1" t="n">
        <v>46322</v>
      </c>
      <c r="F197" t="inlineStr">
        <is>
          <t>VÄRMLANDS LÄN</t>
        </is>
      </c>
      <c r="G197" t="inlineStr">
        <is>
          <t>GRUMS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46322</v>
      </c>
      <c r="F198" t="inlineStr">
        <is>
          <t>VÄRMLANDS LÄN</t>
        </is>
      </c>
      <c r="G198" t="inlineStr">
        <is>
          <t>GRUMS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46322</v>
      </c>
      <c r="F199" t="inlineStr">
        <is>
          <t>VÄRMLANDS LÄN</t>
        </is>
      </c>
      <c r="G199" t="inlineStr">
        <is>
          <t>GRUMS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44924</v>
      </c>
      <c r="E200" s="1" t="n">
        <v>46322</v>
      </c>
      <c r="F200" t="inlineStr">
        <is>
          <t>VÄRMLANDS LÄN</t>
        </is>
      </c>
      <c r="G200" t="inlineStr">
        <is>
          <t>GRUMS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46322</v>
      </c>
      <c r="F201" t="inlineStr">
        <is>
          <t>VÄRMLANDS LÄN</t>
        </is>
      </c>
      <c r="G201" t="inlineStr">
        <is>
          <t>GRUMS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44705</v>
      </c>
      <c r="E202" s="1" t="n">
        <v>46322</v>
      </c>
      <c r="F202" t="inlineStr">
        <is>
          <t>VÄRMLANDS LÄN</t>
        </is>
      </c>
      <c r="G202" t="inlineStr">
        <is>
          <t>GRUMS</t>
        </is>
      </c>
      <c r="I202" t="n">
        <v>12.4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46322</v>
      </c>
      <c r="F203" t="inlineStr">
        <is>
          <t>VÄRMLANDS LÄN</t>
        </is>
      </c>
      <c r="G203" t="inlineStr">
        <is>
          <t>GRUMS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46322</v>
      </c>
      <c r="F204" t="inlineStr">
        <is>
          <t>VÄRMLANDS LÄN</t>
        </is>
      </c>
      <c r="G204" t="inlineStr">
        <is>
          <t>GRUMS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45061</v>
      </c>
      <c r="E205" s="1" t="n">
        <v>46322</v>
      </c>
      <c r="F205" t="inlineStr">
        <is>
          <t>VÄRMLANDS LÄN</t>
        </is>
      </c>
      <c r="G205" t="inlineStr">
        <is>
          <t>GRUMS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46322</v>
      </c>
      <c r="F206" t="inlineStr">
        <is>
          <t>VÄRMLANDS LÄN</t>
        </is>
      </c>
      <c r="G206" t="inlineStr">
        <is>
          <t>GRUMS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44753</v>
      </c>
      <c r="E207" s="1" t="n">
        <v>46322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14.4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46322</v>
      </c>
      <c r="F208" t="inlineStr">
        <is>
          <t>VÄRMLANDS LÄN</t>
        </is>
      </c>
      <c r="G208" t="inlineStr">
        <is>
          <t>GRUMS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46322</v>
      </c>
      <c r="F209" t="inlineStr">
        <is>
          <t>VÄRMLANDS LÄN</t>
        </is>
      </c>
      <c r="G209" t="inlineStr">
        <is>
          <t>GRUMS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46322</v>
      </c>
      <c r="F210" t="inlineStr">
        <is>
          <t>VÄRMLANDS LÄN</t>
        </is>
      </c>
      <c r="G210" t="inlineStr">
        <is>
          <t>GRUMS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46322</v>
      </c>
      <c r="F211" t="inlineStr">
        <is>
          <t>VÄRMLANDS LÄN</t>
        </is>
      </c>
      <c r="G211" t="inlineStr">
        <is>
          <t>GRUMS</t>
        </is>
      </c>
      <c r="I211" t="n">
        <v>13.8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46322</v>
      </c>
      <c r="F212" t="inlineStr">
        <is>
          <t>VÄRMLANDS LÄN</t>
        </is>
      </c>
      <c r="G212" t="inlineStr">
        <is>
          <t>GRUMS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44847</v>
      </c>
      <c r="E213" s="1" t="n">
        <v>46322</v>
      </c>
      <c r="F213" t="inlineStr">
        <is>
          <t>VÄRMLANDS LÄN</t>
        </is>
      </c>
      <c r="G213" t="inlineStr">
        <is>
          <t>GRUMS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46322</v>
      </c>
      <c r="F214" t="inlineStr">
        <is>
          <t>VÄRMLANDS LÄN</t>
        </is>
      </c>
      <c r="G214" t="inlineStr">
        <is>
          <t>GRUMS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46322</v>
      </c>
      <c r="F215" t="inlineStr">
        <is>
          <t>VÄRMLANDS LÄN</t>
        </is>
      </c>
      <c r="G215" t="inlineStr">
        <is>
          <t>GRUMS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46322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46322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71903-2021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46322</v>
      </c>
      <c r="F218" t="inlineStr">
        <is>
          <t>VÄRMLANDS LÄN</t>
        </is>
      </c>
      <c r="G218" t="inlineStr">
        <is>
          <t>GRUMS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45681</v>
      </c>
      <c r="E219" s="1" t="n">
        <v>46322</v>
      </c>
      <c r="F219" t="inlineStr">
        <is>
          <t>VÄRMLANDS LÄN</t>
        </is>
      </c>
      <c r="G219" t="inlineStr">
        <is>
          <t>GRUMS</t>
        </is>
      </c>
      <c r="H219" t="inlineStr">
        <is>
          <t>BillerudKorsnäs AB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46322</v>
      </c>
      <c r="F220" t="inlineStr">
        <is>
          <t>VÄRMLANDS LÄN</t>
        </is>
      </c>
      <c r="G220" t="inlineStr">
        <is>
          <t>GRUMS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45391</v>
      </c>
      <c r="E221" s="1" t="n">
        <v>46322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46322</v>
      </c>
      <c r="F222" t="inlineStr">
        <is>
          <t>VÄRMLANDS LÄN</t>
        </is>
      </c>
      <c r="G222" t="inlineStr">
        <is>
          <t>GRUMS</t>
        </is>
      </c>
      <c r="H222" t="inlineStr">
        <is>
          <t>Kommuner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46167</v>
      </c>
      <c r="E223" s="1" t="n">
        <v>46322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29724-2023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45107</v>
      </c>
      <c r="E224" s="1" t="n">
        <v>46322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46164</v>
      </c>
      <c r="E225" s="1" t="n">
        <v>46322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46164</v>
      </c>
      <c r="E226" s="1" t="n">
        <v>46322</v>
      </c>
      <c r="F226" t="inlineStr">
        <is>
          <t>VÄRMLANDS LÄN</t>
        </is>
      </c>
      <c r="G226" t="inlineStr">
        <is>
          <t>GRUMS</t>
        </is>
      </c>
      <c r="H226" t="inlineStr">
        <is>
          <t>Kommuner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46322</v>
      </c>
      <c r="F227" t="inlineStr">
        <is>
          <t>VÄRMLANDS LÄN</t>
        </is>
      </c>
      <c r="G227" t="inlineStr">
        <is>
          <t>GRUMS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46322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46322</v>
      </c>
      <c r="F229" t="inlineStr">
        <is>
          <t>VÄRMLANDS LÄN</t>
        </is>
      </c>
      <c r="G229" t="inlineStr">
        <is>
          <t>GRUMS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46322</v>
      </c>
      <c r="F230" t="inlineStr">
        <is>
          <t>VÄRMLANDS LÄN</t>
        </is>
      </c>
      <c r="G230" t="inlineStr">
        <is>
          <t>GRUMS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46322</v>
      </c>
      <c r="F231" t="inlineStr">
        <is>
          <t>VÄRMLANDS LÄN</t>
        </is>
      </c>
      <c r="G231" t="inlineStr">
        <is>
          <t>GRUMS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7922-2022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44608</v>
      </c>
      <c r="E232" s="1" t="n">
        <v>46322</v>
      </c>
      <c r="F232" t="inlineStr">
        <is>
          <t>VÄRMLANDS LÄN</t>
        </is>
      </c>
      <c r="G232" t="inlineStr">
        <is>
          <t>GRUMS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45670</v>
      </c>
      <c r="E233" s="1" t="n">
        <v>46322</v>
      </c>
      <c r="F233" t="inlineStr">
        <is>
          <t>VÄRMLANDS LÄN</t>
        </is>
      </c>
      <c r="G233" t="inlineStr">
        <is>
          <t>GRUMS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26015-2026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46181</v>
      </c>
      <c r="E234" s="1" t="n">
        <v>46322</v>
      </c>
      <c r="F234" t="inlineStr">
        <is>
          <t>VÄRMLANDS LÄN</t>
        </is>
      </c>
      <c r="G234" t="inlineStr">
        <is>
          <t>GRUMS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46322</v>
      </c>
      <c r="F235" t="inlineStr">
        <is>
          <t>VÄRMLANDS LÄN</t>
        </is>
      </c>
      <c r="G235" t="inlineStr">
        <is>
          <t>GRUMS</t>
        </is>
      </c>
      <c r="H235" t="inlineStr">
        <is>
          <t>Kommuner</t>
        </is>
      </c>
      <c r="I235" t="n">
        <v>20.8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45378</v>
      </c>
      <c r="E236" s="1" t="n">
        <v>46322</v>
      </c>
      <c r="F236" t="inlineStr">
        <is>
          <t>VÄRMLANDS LÄN</t>
        </is>
      </c>
      <c r="G236" t="inlineStr">
        <is>
          <t>GRUMS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45124</v>
      </c>
      <c r="E237" s="1" t="n">
        <v>46322</v>
      </c>
      <c r="F237" t="inlineStr">
        <is>
          <t>VÄRMLANDS LÄN</t>
        </is>
      </c>
      <c r="G237" t="inlineStr">
        <is>
          <t>GRUMS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46322</v>
      </c>
      <c r="F238" t="inlineStr">
        <is>
          <t>VÄRMLANDS LÄN</t>
        </is>
      </c>
      <c r="G238" t="inlineStr">
        <is>
          <t>GRUMS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46322</v>
      </c>
      <c r="F239" t="inlineStr">
        <is>
          <t>VÄRMLANDS LÄN</t>
        </is>
      </c>
      <c r="G239" t="inlineStr">
        <is>
          <t>GRUMS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46322</v>
      </c>
      <c r="F240" t="inlineStr">
        <is>
          <t>VÄRMLANDS LÄN</t>
        </is>
      </c>
      <c r="G240" t="inlineStr">
        <is>
          <t>GRUMS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46322</v>
      </c>
      <c r="F241" t="inlineStr">
        <is>
          <t>VÄRMLANDS LÄN</t>
        </is>
      </c>
      <c r="G241" t="inlineStr">
        <is>
          <t>GRUMS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45377</v>
      </c>
      <c r="E242" s="1" t="n">
        <v>46322</v>
      </c>
      <c r="F242" t="inlineStr">
        <is>
          <t>VÄRMLANDS LÄN</t>
        </is>
      </c>
      <c r="G242" t="inlineStr">
        <is>
          <t>GRUMS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45377</v>
      </c>
      <c r="E243" s="1" t="n">
        <v>46322</v>
      </c>
      <c r="F243" t="inlineStr">
        <is>
          <t>VÄRMLANDS LÄN</t>
        </is>
      </c>
      <c r="G243" t="inlineStr">
        <is>
          <t>GRUMS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46322</v>
      </c>
      <c r="F244" t="inlineStr">
        <is>
          <t>VÄRMLANDS LÄN</t>
        </is>
      </c>
      <c r="G244" t="inlineStr">
        <is>
          <t>GRUMS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46322</v>
      </c>
      <c r="F245" t="inlineStr">
        <is>
          <t>VÄRMLANDS LÄN</t>
        </is>
      </c>
      <c r="G245" t="inlineStr">
        <is>
          <t>GRUMS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45208</v>
      </c>
      <c r="E246" s="1" t="n">
        <v>46322</v>
      </c>
      <c r="F246" t="inlineStr">
        <is>
          <t>VÄRMLANDS LÄN</t>
        </is>
      </c>
      <c r="G246" t="inlineStr">
        <is>
          <t>GRUMS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46322</v>
      </c>
      <c r="F247" t="inlineStr">
        <is>
          <t>VÄRMLANDS LÄN</t>
        </is>
      </c>
      <c r="G247" t="inlineStr">
        <is>
          <t>GRUMS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45411</v>
      </c>
      <c r="E248" s="1" t="n">
        <v>46322</v>
      </c>
      <c r="F248" t="inlineStr">
        <is>
          <t>VÄRMLANDS LÄN</t>
        </is>
      </c>
      <c r="G248" t="inlineStr">
        <is>
          <t>GRUMS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46322</v>
      </c>
      <c r="F249" t="inlineStr">
        <is>
          <t>VÄRMLANDS LÄN</t>
        </is>
      </c>
      <c r="G249" t="inlineStr">
        <is>
          <t>GRUMS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66056-2021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44517</v>
      </c>
      <c r="E250" s="1" t="n">
        <v>46322</v>
      </c>
      <c r="F250" t="inlineStr">
        <is>
          <t>VÄRMLANDS LÄN</t>
        </is>
      </c>
      <c r="G250" t="inlineStr">
        <is>
          <t>GRUMS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46322</v>
      </c>
      <c r="F251" t="inlineStr">
        <is>
          <t>VÄRMLANDS LÄN</t>
        </is>
      </c>
      <c r="G251" t="inlineStr">
        <is>
          <t>GRUMS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7991-2024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45350</v>
      </c>
      <c r="E252" s="1" t="n">
        <v>46322</v>
      </c>
      <c r="F252" t="inlineStr">
        <is>
          <t>VÄRMLANDS LÄN</t>
        </is>
      </c>
      <c r="G252" t="inlineStr">
        <is>
          <t>GRUMS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46307</v>
      </c>
      <c r="E253" s="1" t="n">
        <v>46322</v>
      </c>
      <c r="F253" t="inlineStr">
        <is>
          <t>VÄRMLANDS LÄN</t>
        </is>
      </c>
      <c r="G253" t="inlineStr">
        <is>
          <t>GRUMS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46322</v>
      </c>
      <c r="F254" t="inlineStr">
        <is>
          <t>VÄRMLANDS LÄN</t>
        </is>
      </c>
      <c r="G254" t="inlineStr">
        <is>
          <t>GRUMS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45708</v>
      </c>
      <c r="E255" s="1" t="n">
        <v>46322</v>
      </c>
      <c r="F255" t="inlineStr">
        <is>
          <t>VÄRMLANDS LÄN</t>
        </is>
      </c>
      <c r="G255" t="inlineStr">
        <is>
          <t>GRUMS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42954-2026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46310</v>
      </c>
      <c r="E256" s="1" t="n">
        <v>46322</v>
      </c>
      <c r="F256" t="inlineStr">
        <is>
          <t>VÄRMLANDS LÄN</t>
        </is>
      </c>
      <c r="G256" t="inlineStr">
        <is>
          <t>GRUMS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46310</v>
      </c>
      <c r="E257" s="1" t="n">
        <v>46322</v>
      </c>
      <c r="F257" t="inlineStr">
        <is>
          <t>VÄRMLANDS LÄN</t>
        </is>
      </c>
      <c r="G257" t="inlineStr">
        <is>
          <t>GRUMS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73310-2021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44547</v>
      </c>
      <c r="E258" s="1" t="n">
        <v>46322</v>
      </c>
      <c r="F258" t="inlineStr">
        <is>
          <t>VÄRMLANDS LÄN</t>
        </is>
      </c>
      <c r="G258" t="inlineStr">
        <is>
          <t>GRUMS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71781-2021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46322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46322</v>
      </c>
      <c r="F260" t="inlineStr">
        <is>
          <t>VÄRMLANDS LÄN</t>
        </is>
      </c>
      <c r="G260" t="inlineStr">
        <is>
          <t>GRUMS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46274</v>
      </c>
      <c r="E261" s="1" t="n">
        <v>46322</v>
      </c>
      <c r="F261" t="inlineStr">
        <is>
          <t>VÄRMLANDS LÄN</t>
        </is>
      </c>
      <c r="G261" t="inlineStr">
        <is>
          <t>GRUMS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46274</v>
      </c>
      <c r="E262" s="1" t="n">
        <v>46322</v>
      </c>
      <c r="F262" t="inlineStr">
        <is>
          <t>VÄRMLANDS LÄN</t>
        </is>
      </c>
      <c r="G262" t="inlineStr">
        <is>
          <t>GRUMS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46322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46322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46322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46322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46322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2026-10-27T03:08:02Z</dcterms:created>
  <dcterms:modified xmlns:dcterms="http://purl.org/dc/terms/" xmlns:xsi="http://www.w3.org/2001/XMLSchema-instance" xsi:type="dcterms:W3CDTF">2026-10-27T03:08:03Z</dcterms:modified>
</cp:coreProperties>
</file>