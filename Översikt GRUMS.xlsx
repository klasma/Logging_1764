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46299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46299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46299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46299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46299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46299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46299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46299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46299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46299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46299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46299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46299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46299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46299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46299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46299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46299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46299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46299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46299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47146-2025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46299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Duvhök</t>
        </is>
      </c>
      <c r="W27">
        <f>HYPERLINK("https://klasma.github.io/Logging_1764/artfynd/A 47146-2025 artfynd.xlsx", "A 47146-2025")</f>
        <v/>
      </c>
      <c r="X27">
        <f>HYPERLINK("https://klasma.github.io/Logging_1764/kartor/A 47146-2025 karta.png", "A 47146-2025")</f>
        <v/>
      </c>
      <c r="Y27">
        <f>HYPERLINK("https://klasma.github.io/Logging_1764/kartor_geotiff/A 47146-2025 georefererad karta.tif", "A 47146-2025")</f>
        <v/>
      </c>
      <c r="AA27">
        <f>HYPERLINK("https://klasma.github.io/Logging_1764/klagomål/A 47146-2025 FSC-klagomål.docx", "A 47146-2025")</f>
        <v/>
      </c>
      <c r="AB27">
        <f>HYPERLINK("https://klasma.github.io/Logging_1764/klagomålsmail/A 47146-2025 FSC-klagomål mail.docx", "A 47146-2025")</f>
        <v/>
      </c>
      <c r="AC27">
        <f>HYPERLINK("https://klasma.github.io/Logging_1764/tillsyn/A 47146-2025 tillsynsbegäran.docx", "A 47146-2025")</f>
        <v/>
      </c>
      <c r="AD27">
        <f>HYPERLINK("https://klasma.github.io/Logging_1764/tillsynsmail/A 47146-2025 tillsynsbegäran mail.docx", "A 47146-2025")</f>
        <v/>
      </c>
      <c r="AE27">
        <f>HYPERLINK("https://klasma.github.io/Logging_1764/fåglar/A 47146-2025 prioriterade fågelarter.docx", "A 47146-2025")</f>
        <v/>
      </c>
    </row>
    <row r="28" ht="15" customHeight="1">
      <c r="A28" t="inlineStr">
        <is>
          <t>A 12296-2026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46299</v>
      </c>
      <c r="F28" t="inlineStr">
        <is>
          <t>VÄRMLANDS LÄN</t>
        </is>
      </c>
      <c r="G28" t="inlineStr">
        <is>
          <t>GRUMS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12296-2026 artfynd.xlsx", "A 12296-2026")</f>
        <v/>
      </c>
      <c r="X28">
        <f>HYPERLINK("https://klasma.github.io/Logging_1764/kartor/A 12296-2026 karta.png", "A 12296-2026")</f>
        <v/>
      </c>
      <c r="Y28">
        <f>HYPERLINK("https://klasma.github.io/Logging_1764/kartor_geotiff/A 12296-2026 georefererad karta.tif", "A 12296-2026")</f>
        <v/>
      </c>
      <c r="AA28">
        <f>HYPERLINK("https://klasma.github.io/Logging_1764/klagomål/A 12296-2026 FSC-klagomål.docx", "A 12296-2026")</f>
        <v/>
      </c>
      <c r="AB28">
        <f>HYPERLINK("https://klasma.github.io/Logging_1764/klagomålsmail/A 12296-2026 FSC-klagomål mail.docx", "A 12296-2026")</f>
        <v/>
      </c>
      <c r="AC28">
        <f>HYPERLINK("https://klasma.github.io/Logging_1764/tillsyn/A 12296-2026 tillsynsbegäran.docx", "A 12296-2026")</f>
        <v/>
      </c>
      <c r="AD28">
        <f>HYPERLINK("https://klasma.github.io/Logging_1764/tillsynsmail/A 12296-2026 tillsynsbegäran mail.docx", "A 12296-2026")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46299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30411-2025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46299</v>
      </c>
      <c r="F30" t="inlineStr">
        <is>
          <t>VÄRMLANDS LÄN</t>
        </is>
      </c>
      <c r="G30" t="inlineStr">
        <is>
          <t>GRUMS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HYPERLINK("https://klasma.github.io/Logging_1764/artfynd/A 30411-2025 artfynd.xlsx", "A 30411-2025")</f>
        <v/>
      </c>
      <c r="X30">
        <f>HYPERLINK("https://klasma.github.io/Logging_1764/kartor/A 30411-2025 karta.png", "A 30411-2025")</f>
        <v/>
      </c>
      <c r="Y30">
        <f>HYPERLINK("https://klasma.github.io/Logging_1764/kartor_geotiff/A 30411-2025 georefererad karta.tif", "A 30411-2025")</f>
        <v/>
      </c>
      <c r="AA30">
        <f>HYPERLINK("https://klasma.github.io/Logging_1764/klagomål/A 30411-2025 FSC-klagomål.docx", "A 30411-2025")</f>
        <v/>
      </c>
      <c r="AB30">
        <f>HYPERLINK("https://klasma.github.io/Logging_1764/klagomålsmail/A 30411-2025 FSC-klagomål mail.docx", "A 30411-2025")</f>
        <v/>
      </c>
      <c r="AC30">
        <f>HYPERLINK("https://klasma.github.io/Logging_1764/tillsyn/A 30411-2025 tillsynsbegäran.docx", "A 30411-2025")</f>
        <v/>
      </c>
      <c r="AD30">
        <f>HYPERLINK("https://klasma.github.io/Logging_1764/tillsynsmail/A 30411-2025 tillsynsbegäran mail.docx", "A 30411-2025")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46299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46299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46299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34076-2026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46299</v>
      </c>
      <c r="F34" t="inlineStr">
        <is>
          <t>VÄRMLANDS LÄN</t>
        </is>
      </c>
      <c r="G34" t="inlineStr">
        <is>
          <t>GRUMS</t>
        </is>
      </c>
      <c r="I34" t="n">
        <v>4.9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Skogsklocka</t>
        </is>
      </c>
      <c r="W34">
        <f>HYPERLINK("https://klasma.github.io/Logging_1764/artfynd/A 34076-2026 artfynd.xlsx", "A 34076-2026")</f>
        <v/>
      </c>
      <c r="X34">
        <f>HYPERLINK("https://klasma.github.io/Logging_1764/kartor/A 34076-2026 karta.png", "A 34076-2026")</f>
        <v/>
      </c>
      <c r="Y34">
        <f>HYPERLINK("https://klasma.github.io/Logging_1764/kartor_geotiff/A 34076-2026 georefererad karta.tif", "A 34076-2026")</f>
        <v/>
      </c>
      <c r="AA34">
        <f>HYPERLINK("https://klasma.github.io/Logging_1764/klagomål/A 34076-2026 FSC-klagomål.docx", "A 34076-2026")</f>
        <v/>
      </c>
      <c r="AB34">
        <f>HYPERLINK("https://klasma.github.io/Logging_1764/klagomålsmail/A 34076-2026 FSC-klagomål mail.docx", "A 34076-2026")</f>
        <v/>
      </c>
      <c r="AC34">
        <f>HYPERLINK("https://klasma.github.io/Logging_1764/tillsyn/A 34076-2026 tillsynsbegäran.docx", "A 34076-2026")</f>
        <v/>
      </c>
      <c r="AD34">
        <f>HYPERLINK("https://klasma.github.io/Logging_1764/tillsynsmail/A 34076-2026 tillsynsbegäran mail.docx", "A 34076-2026")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46299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46299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46299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46299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46299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46299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46299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46299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46299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46299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46299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46299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46299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46299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46299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46299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46299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46299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46299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46299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46299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46299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46299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46299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46299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46299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46299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46299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46299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46299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46299</v>
      </c>
      <c r="F65" t="inlineStr">
        <is>
          <t>VÄRMLANDS LÄN</t>
        </is>
      </c>
      <c r="G65" t="inlineStr">
        <is>
          <t>GRUMS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44577</v>
      </c>
      <c r="E66" s="1" t="n">
        <v>46299</v>
      </c>
      <c r="F66" t="inlineStr">
        <is>
          <t>VÄRMLANDS LÄN</t>
        </is>
      </c>
      <c r="G66" t="inlineStr">
        <is>
          <t>GRUMS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46299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44760</v>
      </c>
      <c r="E68" s="1" t="n">
        <v>46299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46299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46299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46299</v>
      </c>
      <c r="F71" t="inlineStr">
        <is>
          <t>VÄRMLANDS LÄN</t>
        </is>
      </c>
      <c r="G71" t="inlineStr">
        <is>
          <t>GRUMS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73901-2021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46299</v>
      </c>
      <c r="F72" t="inlineStr">
        <is>
          <t>VÄRMLANDS LÄN</t>
        </is>
      </c>
      <c r="G72" t="inlineStr">
        <is>
          <t>GRUMS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46299</v>
      </c>
      <c r="F73" t="inlineStr">
        <is>
          <t>VÄRMLANDS LÄN</t>
        </is>
      </c>
      <c r="G73" t="inlineStr">
        <is>
          <t>GRUMS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46299</v>
      </c>
      <c r="F74" t="inlineStr">
        <is>
          <t>VÄRMLANDS LÄN</t>
        </is>
      </c>
      <c r="G74" t="inlineStr">
        <is>
          <t>GRUMS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46299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45387</v>
      </c>
      <c r="E76" s="1" t="n">
        <v>46299</v>
      </c>
      <c r="F76" t="inlineStr">
        <is>
          <t>VÄRMLANDS LÄN</t>
        </is>
      </c>
      <c r="G76" t="inlineStr">
        <is>
          <t>GRUMS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46299</v>
      </c>
      <c r="F77" t="inlineStr">
        <is>
          <t>VÄRMLANDS LÄN</t>
        </is>
      </c>
      <c r="G77" t="inlineStr">
        <is>
          <t>GRUMS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46299</v>
      </c>
      <c r="F78" t="inlineStr">
        <is>
          <t>VÄRMLANDS LÄN</t>
        </is>
      </c>
      <c r="G78" t="inlineStr">
        <is>
          <t>GRUMS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46299</v>
      </c>
      <c r="F79" t="inlineStr">
        <is>
          <t>VÄRMLANDS LÄN</t>
        </is>
      </c>
      <c r="G79" t="inlineStr">
        <is>
          <t>GRUMS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45245</v>
      </c>
      <c r="E80" s="1" t="n">
        <v>46299</v>
      </c>
      <c r="F80" t="inlineStr">
        <is>
          <t>VÄRMLANDS LÄN</t>
        </is>
      </c>
      <c r="G80" t="inlineStr">
        <is>
          <t>GRUMS</t>
        </is>
      </c>
      <c r="I80" t="n">
        <v>18.2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44963</v>
      </c>
      <c r="E81" s="1" t="n">
        <v>46299</v>
      </c>
      <c r="F81" t="inlineStr">
        <is>
          <t>VÄRMLANDS LÄN</t>
        </is>
      </c>
      <c r="G81" t="inlineStr">
        <is>
          <t>GRUMS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46299</v>
      </c>
      <c r="F82" t="inlineStr">
        <is>
          <t>VÄRMLANDS LÄN</t>
        </is>
      </c>
      <c r="G82" t="inlineStr">
        <is>
          <t>GRUMS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46299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46299</v>
      </c>
      <c r="F84" t="inlineStr">
        <is>
          <t>VÄRMLANDS LÄN</t>
        </is>
      </c>
      <c r="G84" t="inlineStr">
        <is>
          <t>GRUMS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46299</v>
      </c>
      <c r="F85" t="inlineStr">
        <is>
          <t>VÄRMLANDS LÄN</t>
        </is>
      </c>
      <c r="G85" t="inlineStr">
        <is>
          <t>GRUMS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45539</v>
      </c>
      <c r="E86" s="1" t="n">
        <v>46299</v>
      </c>
      <c r="F86" t="inlineStr">
        <is>
          <t>VÄRMLANDS LÄN</t>
        </is>
      </c>
      <c r="G86" t="inlineStr">
        <is>
          <t>GRUMS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46299</v>
      </c>
      <c r="F87" t="inlineStr">
        <is>
          <t>VÄRMLANDS LÄN</t>
        </is>
      </c>
      <c r="G87" t="inlineStr">
        <is>
          <t>GRUMS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46299</v>
      </c>
      <c r="F88" t="inlineStr">
        <is>
          <t>VÄRMLANDS LÄN</t>
        </is>
      </c>
      <c r="G88" t="inlineStr">
        <is>
          <t>GRUMS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59391-2025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45989</v>
      </c>
      <c r="E89" s="1" t="n">
        <v>46299</v>
      </c>
      <c r="F89" t="inlineStr">
        <is>
          <t>VÄRMLANDS LÄN</t>
        </is>
      </c>
      <c r="G89" t="inlineStr">
        <is>
          <t>GRUMS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46299</v>
      </c>
      <c r="F90" t="inlineStr">
        <is>
          <t>VÄRMLANDS LÄN</t>
        </is>
      </c>
      <c r="G90" t="inlineStr">
        <is>
          <t>GRUMS</t>
        </is>
      </c>
      <c r="H90" t="inlineStr">
        <is>
          <t>Bergvik skog väst AB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46299</v>
      </c>
      <c r="F91" t="inlineStr">
        <is>
          <t>VÄRMLANDS LÄN</t>
        </is>
      </c>
      <c r="G91" t="inlineStr">
        <is>
          <t>GRUMS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46299</v>
      </c>
      <c r="F92" t="inlineStr">
        <is>
          <t>VÄRMLANDS LÄN</t>
        </is>
      </c>
      <c r="G92" t="inlineStr">
        <is>
          <t>GRUMS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46039</v>
      </c>
      <c r="E93" s="1" t="n">
        <v>46299</v>
      </c>
      <c r="F93" t="inlineStr">
        <is>
          <t>VÄRMLANDS LÄN</t>
        </is>
      </c>
      <c r="G93" t="inlineStr">
        <is>
          <t>GRUMS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46299</v>
      </c>
      <c r="F94" t="inlineStr">
        <is>
          <t>VÄRMLANDS LÄN</t>
        </is>
      </c>
      <c r="G94" t="inlineStr">
        <is>
          <t>GRUMS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45916</v>
      </c>
      <c r="E95" s="1" t="n">
        <v>46299</v>
      </c>
      <c r="F95" t="inlineStr">
        <is>
          <t>VÄRMLANDS LÄN</t>
        </is>
      </c>
      <c r="G95" t="inlineStr">
        <is>
          <t>GRUMS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45735</v>
      </c>
      <c r="E96" s="1" t="n">
        <v>46299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46299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45300</v>
      </c>
      <c r="E98" s="1" t="n">
        <v>46299</v>
      </c>
      <c r="F98" t="inlineStr">
        <is>
          <t>VÄRMLANDS LÄN</t>
        </is>
      </c>
      <c r="G98" t="inlineStr">
        <is>
          <t>GRUMS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46299</v>
      </c>
      <c r="F99" t="inlineStr">
        <is>
          <t>VÄRMLANDS LÄN</t>
        </is>
      </c>
      <c r="G99" t="inlineStr">
        <is>
          <t>GRUMS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46299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46299</v>
      </c>
      <c r="F101" t="inlineStr">
        <is>
          <t>VÄRMLANDS LÄN</t>
        </is>
      </c>
      <c r="G101" t="inlineStr">
        <is>
          <t>GRUMS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46299</v>
      </c>
      <c r="F102" t="inlineStr">
        <is>
          <t>VÄRMLANDS LÄN</t>
        </is>
      </c>
      <c r="G102" t="inlineStr">
        <is>
          <t>GRUMS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46066</v>
      </c>
      <c r="E103" s="1" t="n">
        <v>46299</v>
      </c>
      <c r="F103" t="inlineStr">
        <is>
          <t>VÄRMLANDS LÄN</t>
        </is>
      </c>
      <c r="G103" t="inlineStr">
        <is>
          <t>GRUMS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44924</v>
      </c>
      <c r="E104" s="1" t="n">
        <v>46299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46299</v>
      </c>
      <c r="F105" t="inlineStr">
        <is>
          <t>VÄRMLANDS LÄN</t>
        </is>
      </c>
      <c r="G105" t="inlineStr">
        <is>
          <t>GRUMS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45441</v>
      </c>
      <c r="E106" s="1" t="n">
        <v>46299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36420-2023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45152</v>
      </c>
      <c r="E107" s="1" t="n">
        <v>46299</v>
      </c>
      <c r="F107" t="inlineStr">
        <is>
          <t>VÄRMLANDS LÄN</t>
        </is>
      </c>
      <c r="G107" t="inlineStr">
        <is>
          <t>GRUMS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46299</v>
      </c>
      <c r="F108" t="inlineStr">
        <is>
          <t>VÄRMLANDS LÄN</t>
        </is>
      </c>
      <c r="G108" t="inlineStr">
        <is>
          <t>GRUMS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46299</v>
      </c>
      <c r="F109" t="inlineStr">
        <is>
          <t>VÄRMLANDS LÄN</t>
        </is>
      </c>
      <c r="G109" t="inlineStr">
        <is>
          <t>GRUMS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51509-2025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45950</v>
      </c>
      <c r="E110" s="1" t="n">
        <v>46299</v>
      </c>
      <c r="F110" t="inlineStr">
        <is>
          <t>VÄRMLANDS LÄN</t>
        </is>
      </c>
      <c r="G110" t="inlineStr">
        <is>
          <t>GRUMS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45049</v>
      </c>
      <c r="E111" s="1" t="n">
        <v>46299</v>
      </c>
      <c r="F111" t="inlineStr">
        <is>
          <t>VÄRMLANDS LÄN</t>
        </is>
      </c>
      <c r="G111" t="inlineStr">
        <is>
          <t>GRUMS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46299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45956</v>
      </c>
      <c r="E113" s="1" t="n">
        <v>46299</v>
      </c>
      <c r="F113" t="inlineStr">
        <is>
          <t>VÄRMLANDS LÄN</t>
        </is>
      </c>
      <c r="G113" t="inlineStr">
        <is>
          <t>GRUMS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45956</v>
      </c>
      <c r="E114" s="1" t="n">
        <v>46299</v>
      </c>
      <c r="F114" t="inlineStr">
        <is>
          <t>VÄRMLANDS LÄN</t>
        </is>
      </c>
      <c r="G114" t="inlineStr">
        <is>
          <t>GRUMS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46087</v>
      </c>
      <c r="E115" s="1" t="n">
        <v>46299</v>
      </c>
      <c r="F115" t="inlineStr">
        <is>
          <t>VÄRMLANDS LÄN</t>
        </is>
      </c>
      <c r="G115" t="inlineStr">
        <is>
          <t>GRUMS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45708</v>
      </c>
      <c r="E116" s="1" t="n">
        <v>46299</v>
      </c>
      <c r="F116" t="inlineStr">
        <is>
          <t>VÄRMLANDS LÄN</t>
        </is>
      </c>
      <c r="G116" t="inlineStr">
        <is>
          <t>GRUMS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45272</v>
      </c>
      <c r="E117" s="1" t="n">
        <v>46299</v>
      </c>
      <c r="F117" t="inlineStr">
        <is>
          <t>VÄRMLANDS LÄN</t>
        </is>
      </c>
      <c r="G117" t="inlineStr">
        <is>
          <t>GRUMS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46299</v>
      </c>
      <c r="F118" t="inlineStr">
        <is>
          <t>VÄRMLANDS LÄN</t>
        </is>
      </c>
      <c r="G118" t="inlineStr">
        <is>
          <t>GRUMS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69847-2021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46299</v>
      </c>
      <c r="F119" t="inlineStr">
        <is>
          <t>VÄRMLANDS LÄN</t>
        </is>
      </c>
      <c r="G119" t="inlineStr">
        <is>
          <t>GRUMS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46299</v>
      </c>
      <c r="F120" t="inlineStr">
        <is>
          <t>VÄRMLANDS LÄN</t>
        </is>
      </c>
      <c r="G120" t="inlineStr">
        <is>
          <t>GRUMS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45070</v>
      </c>
      <c r="E121" s="1" t="n">
        <v>46299</v>
      </c>
      <c r="F121" t="inlineStr">
        <is>
          <t>VÄRMLANDS LÄN</t>
        </is>
      </c>
      <c r="G121" t="inlineStr">
        <is>
          <t>GRUMS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14688-2026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46101</v>
      </c>
      <c r="E122" s="1" t="n">
        <v>46299</v>
      </c>
      <c r="F122" t="inlineStr">
        <is>
          <t>VÄRMLANDS LÄN</t>
        </is>
      </c>
      <c r="G122" t="inlineStr">
        <is>
          <t>GRUMS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46299</v>
      </c>
      <c r="F123" t="inlineStr">
        <is>
          <t>VÄRMLANDS LÄN</t>
        </is>
      </c>
      <c r="G123" t="inlineStr">
        <is>
          <t>GRUMS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46299</v>
      </c>
      <c r="F124" t="inlineStr">
        <is>
          <t>VÄRMLANDS LÄN</t>
        </is>
      </c>
      <c r="G124" t="inlineStr">
        <is>
          <t>GRUMS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46299</v>
      </c>
      <c r="F125" t="inlineStr">
        <is>
          <t>VÄRMLANDS LÄN</t>
        </is>
      </c>
      <c r="G125" t="inlineStr">
        <is>
          <t>GRUMS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46299</v>
      </c>
      <c r="F126" t="inlineStr">
        <is>
          <t>VÄRMLANDS LÄN</t>
        </is>
      </c>
      <c r="G126" t="inlineStr">
        <is>
          <t>GRUMS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46299</v>
      </c>
      <c r="F127" t="inlineStr">
        <is>
          <t>VÄRMLANDS LÄN</t>
        </is>
      </c>
      <c r="G127" t="inlineStr">
        <is>
          <t>GRUMS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33081-2022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44785</v>
      </c>
      <c r="E128" s="1" t="n">
        <v>46299</v>
      </c>
      <c r="F128" t="inlineStr">
        <is>
          <t>VÄRMLANDS LÄN</t>
        </is>
      </c>
      <c r="G128" t="inlineStr">
        <is>
          <t>GRUMS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25840-2024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45467</v>
      </c>
      <c r="E129" s="1" t="n">
        <v>46299</v>
      </c>
      <c r="F129" t="inlineStr">
        <is>
          <t>VÄRMLANDS LÄN</t>
        </is>
      </c>
      <c r="G129" t="inlineStr">
        <is>
          <t>GRUMS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45996</v>
      </c>
      <c r="E130" s="1" t="n">
        <v>46299</v>
      </c>
      <c r="F130" t="inlineStr">
        <is>
          <t>VÄRMLANDS LÄN</t>
        </is>
      </c>
      <c r="G130" t="inlineStr">
        <is>
          <t>GRUMS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46299</v>
      </c>
      <c r="F131" t="inlineStr">
        <is>
          <t>VÄRMLANDS LÄN</t>
        </is>
      </c>
      <c r="G131" t="inlineStr">
        <is>
          <t>GRUMS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37676-2023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45159</v>
      </c>
      <c r="E132" s="1" t="n">
        <v>46299</v>
      </c>
      <c r="F132" t="inlineStr">
        <is>
          <t>VÄRMLANDS LÄN</t>
        </is>
      </c>
      <c r="G132" t="inlineStr">
        <is>
          <t>GRUMS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46299</v>
      </c>
      <c r="F133" t="inlineStr">
        <is>
          <t>VÄRMLANDS LÄN</t>
        </is>
      </c>
      <c r="G133" t="inlineStr">
        <is>
          <t>GRUMS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46299</v>
      </c>
      <c r="F134" t="inlineStr">
        <is>
          <t>VÄRMLANDS LÄN</t>
        </is>
      </c>
      <c r="G134" t="inlineStr">
        <is>
          <t>GRUMS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44795</v>
      </c>
      <c r="E135" s="1" t="n">
        <v>46299</v>
      </c>
      <c r="F135" t="inlineStr">
        <is>
          <t>VÄRMLANDS LÄN</t>
        </is>
      </c>
      <c r="G135" t="inlineStr">
        <is>
          <t>GRUMS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44635</v>
      </c>
      <c r="E136" s="1" t="n">
        <v>46299</v>
      </c>
      <c r="F136" t="inlineStr">
        <is>
          <t>VÄRMLANDS LÄN</t>
        </is>
      </c>
      <c r="G136" t="inlineStr">
        <is>
          <t>GRUMS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44831</v>
      </c>
      <c r="E137" s="1" t="n">
        <v>46299</v>
      </c>
      <c r="F137" t="inlineStr">
        <is>
          <t>VÄRMLANDS LÄN</t>
        </is>
      </c>
      <c r="G137" t="inlineStr">
        <is>
          <t>GRUMS</t>
        </is>
      </c>
      <c r="I137" t="n">
        <v>13.7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46299</v>
      </c>
      <c r="F138" t="inlineStr">
        <is>
          <t>VÄRMLANDS LÄN</t>
        </is>
      </c>
      <c r="G138" t="inlineStr">
        <is>
          <t>GRUMS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46299</v>
      </c>
      <c r="F139" t="inlineStr">
        <is>
          <t>VÄRMLANDS LÄN</t>
        </is>
      </c>
      <c r="G139" t="inlineStr">
        <is>
          <t>GRUMS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45836</v>
      </c>
      <c r="E140" s="1" t="n">
        <v>46299</v>
      </c>
      <c r="F140" t="inlineStr">
        <is>
          <t>VÄRMLANDS LÄN</t>
        </is>
      </c>
      <c r="G140" t="inlineStr">
        <is>
          <t>GRUMS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46299</v>
      </c>
      <c r="F141" t="inlineStr">
        <is>
          <t>VÄRMLANDS LÄN</t>
        </is>
      </c>
      <c r="G141" t="inlineStr">
        <is>
          <t>GRUMS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46299</v>
      </c>
      <c r="F142" t="inlineStr">
        <is>
          <t>VÄRMLANDS LÄN</t>
        </is>
      </c>
      <c r="G142" t="inlineStr">
        <is>
          <t>GRUMS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46299</v>
      </c>
      <c r="F143" t="inlineStr">
        <is>
          <t>VÄRMLANDS LÄN</t>
        </is>
      </c>
      <c r="G143" t="inlineStr">
        <is>
          <t>GRUMS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46299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46299</v>
      </c>
      <c r="F145" t="inlineStr">
        <is>
          <t>VÄRMLANDS LÄN</t>
        </is>
      </c>
      <c r="G145" t="inlineStr">
        <is>
          <t>GRUMS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31362-2024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45505</v>
      </c>
      <c r="E146" s="1" t="n">
        <v>46299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46299</v>
      </c>
      <c r="F147" t="inlineStr">
        <is>
          <t>VÄRMLANDS LÄN</t>
        </is>
      </c>
      <c r="G147" t="inlineStr">
        <is>
          <t>GRUMS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45776</v>
      </c>
      <c r="E148" s="1" t="n">
        <v>46299</v>
      </c>
      <c r="F148" t="inlineStr">
        <is>
          <t>VÄRMLANDS LÄN</t>
        </is>
      </c>
      <c r="G148" t="inlineStr">
        <is>
          <t>GRUMS</t>
        </is>
      </c>
      <c r="I148" t="n">
        <v>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46299</v>
      </c>
      <c r="F149" t="inlineStr">
        <is>
          <t>VÄRMLANDS LÄN</t>
        </is>
      </c>
      <c r="G149" t="inlineStr">
        <is>
          <t>GRUMS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46299</v>
      </c>
      <c r="F150" t="inlineStr">
        <is>
          <t>VÄRMLANDS LÄN</t>
        </is>
      </c>
      <c r="G150" t="inlineStr">
        <is>
          <t>GRUMS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44705</v>
      </c>
      <c r="E151" s="1" t="n">
        <v>46299</v>
      </c>
      <c r="F151" t="inlineStr">
        <is>
          <t>VÄRMLANDS LÄN</t>
        </is>
      </c>
      <c r="G151" t="inlineStr">
        <is>
          <t>GRUMS</t>
        </is>
      </c>
      <c r="I151" t="n">
        <v>12.4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46299</v>
      </c>
      <c r="F152" t="inlineStr">
        <is>
          <t>VÄRMLANDS LÄN</t>
        </is>
      </c>
      <c r="G152" t="inlineStr">
        <is>
          <t>GRUMS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45316</v>
      </c>
      <c r="E153" s="1" t="n">
        <v>46299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45412</v>
      </c>
      <c r="E154" s="1" t="n">
        <v>46299</v>
      </c>
      <c r="F154" t="inlineStr">
        <is>
          <t>VÄRMLANDS LÄN</t>
        </is>
      </c>
      <c r="G154" t="inlineStr">
        <is>
          <t>GRUMS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46299</v>
      </c>
      <c r="F155" t="inlineStr">
        <is>
          <t>VÄRMLANDS LÄN</t>
        </is>
      </c>
      <c r="G155" t="inlineStr">
        <is>
          <t>GRUMS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46299</v>
      </c>
      <c r="F156" t="inlineStr">
        <is>
          <t>VÄRMLANDS LÄN</t>
        </is>
      </c>
      <c r="G156" t="inlineStr">
        <is>
          <t>GRUMS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46299</v>
      </c>
      <c r="F157" t="inlineStr">
        <is>
          <t>VÄRMLANDS LÄN</t>
        </is>
      </c>
      <c r="G157" t="inlineStr">
        <is>
          <t>GRUMS</t>
        </is>
      </c>
      <c r="I157" t="n">
        <v>22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46299</v>
      </c>
      <c r="F158" t="inlineStr">
        <is>
          <t>VÄRMLANDS LÄN</t>
        </is>
      </c>
      <c r="G158" t="inlineStr">
        <is>
          <t>GRUMS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45691</v>
      </c>
      <c r="E159" s="1" t="n">
        <v>46299</v>
      </c>
      <c r="F159" t="inlineStr">
        <is>
          <t>VÄRMLANDS LÄN</t>
        </is>
      </c>
      <c r="G159" t="inlineStr">
        <is>
          <t>GRUMS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46299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46299</v>
      </c>
      <c r="F161" t="inlineStr">
        <is>
          <t>VÄRMLANDS LÄN</t>
        </is>
      </c>
      <c r="G161" t="inlineStr">
        <is>
          <t>GRUMS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31561-2023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46299</v>
      </c>
      <c r="F162" t="inlineStr">
        <is>
          <t>VÄRMLANDS LÄN</t>
        </is>
      </c>
      <c r="G162" t="inlineStr">
        <is>
          <t>GRUMS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46299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46299</v>
      </c>
      <c r="F164" t="inlineStr">
        <is>
          <t>VÄRMLANDS LÄN</t>
        </is>
      </c>
      <c r="G164" t="inlineStr">
        <is>
          <t>GRUMS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31930-2024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45510</v>
      </c>
      <c r="E165" s="1" t="n">
        <v>46299</v>
      </c>
      <c r="F165" t="inlineStr">
        <is>
          <t>VÄRMLANDS LÄN</t>
        </is>
      </c>
      <c r="G165" t="inlineStr">
        <is>
          <t>GRUMS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46299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40935-2022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46299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45343</v>
      </c>
      <c r="E168" s="1" t="n">
        <v>46299</v>
      </c>
      <c r="F168" t="inlineStr">
        <is>
          <t>VÄRMLANDS LÄN</t>
        </is>
      </c>
      <c r="G168" t="inlineStr">
        <is>
          <t>GRUMS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46299</v>
      </c>
      <c r="F169" t="inlineStr">
        <is>
          <t>VÄRMLANDS LÄN</t>
        </is>
      </c>
      <c r="G169" t="inlineStr">
        <is>
          <t>GRUMS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45011</v>
      </c>
      <c r="E170" s="1" t="n">
        <v>46299</v>
      </c>
      <c r="F170" t="inlineStr">
        <is>
          <t>VÄRMLANDS LÄN</t>
        </is>
      </c>
      <c r="G170" t="inlineStr">
        <is>
          <t>GRUMS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71903-2021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46299</v>
      </c>
      <c r="F171" t="inlineStr">
        <is>
          <t>VÄRMLANDS LÄN</t>
        </is>
      </c>
      <c r="G171" t="inlineStr">
        <is>
          <t>GRUMS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46299</v>
      </c>
      <c r="F172" t="inlineStr">
        <is>
          <t>VÄRMLANDS LÄN</t>
        </is>
      </c>
      <c r="G172" t="inlineStr">
        <is>
          <t>GRUMS</t>
        </is>
      </c>
      <c r="H172" t="inlineStr">
        <is>
          <t>BillerudKorsnäs AB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46299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46299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46299</v>
      </c>
      <c r="F175" t="inlineStr">
        <is>
          <t>VÄRMLANDS LÄN</t>
        </is>
      </c>
      <c r="G175" t="inlineStr">
        <is>
          <t>GRUMS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46299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46299</v>
      </c>
      <c r="F177" t="inlineStr">
        <is>
          <t>VÄRMLANDS LÄN</t>
        </is>
      </c>
      <c r="G177" t="inlineStr">
        <is>
          <t>GRUMS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46167</v>
      </c>
      <c r="E178" s="1" t="n">
        <v>46299</v>
      </c>
      <c r="F178" t="inlineStr">
        <is>
          <t>VÄRMLANDS LÄN</t>
        </is>
      </c>
      <c r="G178" t="inlineStr">
        <is>
          <t>GRUMS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45877</v>
      </c>
      <c r="E179" s="1" t="n">
        <v>46299</v>
      </c>
      <c r="F179" t="inlineStr">
        <is>
          <t>VÄRMLANDS LÄN</t>
        </is>
      </c>
      <c r="G179" t="inlineStr">
        <is>
          <t>GRUMS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46164</v>
      </c>
      <c r="E180" s="1" t="n">
        <v>46299</v>
      </c>
      <c r="F180" t="inlineStr">
        <is>
          <t>VÄRMLANDS LÄN</t>
        </is>
      </c>
      <c r="G180" t="inlineStr">
        <is>
          <t>GRUMS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46299</v>
      </c>
      <c r="F181" t="inlineStr">
        <is>
          <t>VÄRMLANDS LÄN</t>
        </is>
      </c>
      <c r="G181" t="inlineStr">
        <is>
          <t>GRUMS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46164</v>
      </c>
      <c r="E182" s="1" t="n">
        <v>46299</v>
      </c>
      <c r="F182" t="inlineStr">
        <is>
          <t>VÄRMLANDS LÄN</t>
        </is>
      </c>
      <c r="G182" t="inlineStr">
        <is>
          <t>GRUMS</t>
        </is>
      </c>
      <c r="H182" t="inlineStr">
        <is>
          <t>Kommuner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45877</v>
      </c>
      <c r="E183" s="1" t="n">
        <v>46299</v>
      </c>
      <c r="F183" t="inlineStr">
        <is>
          <t>VÄRMLANDS LÄN</t>
        </is>
      </c>
      <c r="G183" t="inlineStr">
        <is>
          <t>GRUMS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46299</v>
      </c>
      <c r="F184" t="inlineStr">
        <is>
          <t>VÄRMLANDS LÄN</t>
        </is>
      </c>
      <c r="G184" t="inlineStr">
        <is>
          <t>GRUMS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62554-2022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46299</v>
      </c>
      <c r="F185" t="inlineStr">
        <is>
          <t>VÄRMLANDS LÄN</t>
        </is>
      </c>
      <c r="G185" t="inlineStr">
        <is>
          <t>GRUMS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45441</v>
      </c>
      <c r="E186" s="1" t="n">
        <v>46299</v>
      </c>
      <c r="F186" t="inlineStr">
        <is>
          <t>VÄRMLANDS LÄN</t>
        </is>
      </c>
      <c r="G186" t="inlineStr">
        <is>
          <t>GRUMS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45061</v>
      </c>
      <c r="E187" s="1" t="n">
        <v>46299</v>
      </c>
      <c r="F187" t="inlineStr">
        <is>
          <t>VÄRMLANDS LÄN</t>
        </is>
      </c>
      <c r="G187" t="inlineStr">
        <is>
          <t>GRUMS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46171</v>
      </c>
      <c r="E188" s="1" t="n">
        <v>46299</v>
      </c>
      <c r="F188" t="inlineStr">
        <is>
          <t>VÄRMLANDS LÄN</t>
        </is>
      </c>
      <c r="G188" t="inlineStr">
        <is>
          <t>GRUMS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46299</v>
      </c>
      <c r="F189" t="inlineStr">
        <is>
          <t>VÄRMLANDS LÄN</t>
        </is>
      </c>
      <c r="G189" t="inlineStr">
        <is>
          <t>GRUMS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44753</v>
      </c>
      <c r="E190" s="1" t="n">
        <v>46299</v>
      </c>
      <c r="F190" t="inlineStr">
        <is>
          <t>VÄRMLANDS LÄN</t>
        </is>
      </c>
      <c r="G190" t="inlineStr">
        <is>
          <t>GRUMS</t>
        </is>
      </c>
      <c r="H190" t="inlineStr">
        <is>
          <t>Bergvik skog väst AB</t>
        </is>
      </c>
      <c r="I190" t="n">
        <v>14.4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26015-2026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46181</v>
      </c>
      <c r="E191" s="1" t="n">
        <v>46299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46299</v>
      </c>
      <c r="F192" t="inlineStr">
        <is>
          <t>VÄRMLANDS LÄN</t>
        </is>
      </c>
      <c r="G192" t="inlineStr">
        <is>
          <t>GRUMS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46299</v>
      </c>
      <c r="F193" t="inlineStr">
        <is>
          <t>VÄRMLANDS LÄN</t>
        </is>
      </c>
      <c r="G193" t="inlineStr">
        <is>
          <t>GRUMS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44809</v>
      </c>
      <c r="E194" s="1" t="n">
        <v>46299</v>
      </c>
      <c r="F194" t="inlineStr">
        <is>
          <t>VÄRMLANDS LÄN</t>
        </is>
      </c>
      <c r="G194" t="inlineStr">
        <is>
          <t>GRUMS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46299</v>
      </c>
      <c r="F195" t="inlineStr">
        <is>
          <t>VÄRMLANDS LÄN</t>
        </is>
      </c>
      <c r="G195" t="inlineStr">
        <is>
          <t>GRUMS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46197</v>
      </c>
      <c r="E196" s="1" t="n">
        <v>46299</v>
      </c>
      <c r="F196" t="inlineStr">
        <is>
          <t>VÄRMLANDS LÄN</t>
        </is>
      </c>
      <c r="G196" t="inlineStr">
        <is>
          <t>GRUMS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11103-2022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44628</v>
      </c>
      <c r="E197" s="1" t="n">
        <v>46299</v>
      </c>
      <c r="F197" t="inlineStr">
        <is>
          <t>VÄRMLANDS LÄN</t>
        </is>
      </c>
      <c r="G197" t="inlineStr">
        <is>
          <t>GRUMS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29205-2026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46202</v>
      </c>
      <c r="E198" s="1" t="n">
        <v>46299</v>
      </c>
      <c r="F198" t="inlineStr">
        <is>
          <t>VÄRMLANDS LÄN</t>
        </is>
      </c>
      <c r="G198" t="inlineStr">
        <is>
          <t>GRUMS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46202</v>
      </c>
      <c r="E199" s="1" t="n">
        <v>46299</v>
      </c>
      <c r="F199" t="inlineStr">
        <is>
          <t>VÄRMLANDS LÄN</t>
        </is>
      </c>
      <c r="G199" t="inlineStr">
        <is>
          <t>GRUMS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44956</v>
      </c>
      <c r="E200" s="1" t="n">
        <v>46299</v>
      </c>
      <c r="F200" t="inlineStr">
        <is>
          <t>VÄRMLANDS LÄN</t>
        </is>
      </c>
      <c r="G200" t="inlineStr">
        <is>
          <t>GRUMS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46299</v>
      </c>
      <c r="F201" t="inlineStr">
        <is>
          <t>VÄRMLANDS LÄN</t>
        </is>
      </c>
      <c r="G201" t="inlineStr">
        <is>
          <t>GRUMS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46299</v>
      </c>
      <c r="F202" t="inlineStr">
        <is>
          <t>VÄRMLANDS LÄN</t>
        </is>
      </c>
      <c r="G202" t="inlineStr">
        <is>
          <t>GRUMS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46299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46299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45391</v>
      </c>
      <c r="E205" s="1" t="n">
        <v>46299</v>
      </c>
      <c r="F205" t="inlineStr">
        <is>
          <t>VÄRMLANDS LÄN</t>
        </is>
      </c>
      <c r="G205" t="inlineStr">
        <is>
          <t>GRUMS</t>
        </is>
      </c>
      <c r="H205" t="inlineStr">
        <is>
          <t>Bergvik skog väst AB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29724-2023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45107</v>
      </c>
      <c r="E206" s="1" t="n">
        <v>46299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46214</v>
      </c>
      <c r="E207" s="1" t="n">
        <v>46299</v>
      </c>
      <c r="F207" t="inlineStr">
        <is>
          <t>VÄRMLANDS LÄN</t>
        </is>
      </c>
      <c r="G207" t="inlineStr">
        <is>
          <t>GRUMS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46299</v>
      </c>
      <c r="F208" t="inlineStr">
        <is>
          <t>VÄRMLANDS LÄN</t>
        </is>
      </c>
      <c r="G208" t="inlineStr">
        <is>
          <t>GRUMS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46299</v>
      </c>
      <c r="F209" t="inlineStr">
        <is>
          <t>VÄRMLANDS LÄN</t>
        </is>
      </c>
      <c r="G209" t="inlineStr">
        <is>
          <t>GRUMS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45408</v>
      </c>
      <c r="E210" s="1" t="n">
        <v>46299</v>
      </c>
      <c r="F210" t="inlineStr">
        <is>
          <t>VÄRMLANDS LÄN</t>
        </is>
      </c>
      <c r="G210" t="inlineStr">
        <is>
          <t>GRUMS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46224</v>
      </c>
      <c r="E211" s="1" t="n">
        <v>46299</v>
      </c>
      <c r="F211" t="inlineStr">
        <is>
          <t>VÄRMLANDS LÄN</t>
        </is>
      </c>
      <c r="G211" t="inlineStr">
        <is>
          <t>GRUMS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46299</v>
      </c>
      <c r="F212" t="inlineStr">
        <is>
          <t>VÄRMLANDS LÄN</t>
        </is>
      </c>
      <c r="G212" t="inlineStr">
        <is>
          <t>GRUMS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46299</v>
      </c>
      <c r="F213" t="inlineStr">
        <is>
          <t>VÄRMLANDS LÄN</t>
        </is>
      </c>
      <c r="G213" t="inlineStr">
        <is>
          <t>GRUMS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46299</v>
      </c>
      <c r="F214" t="inlineStr">
        <is>
          <t>VÄRMLANDS LÄN</t>
        </is>
      </c>
      <c r="G214" t="inlineStr">
        <is>
          <t>GRUMS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45124</v>
      </c>
      <c r="E215" s="1" t="n">
        <v>46299</v>
      </c>
      <c r="F215" t="inlineStr">
        <is>
          <t>VÄRMLANDS LÄN</t>
        </is>
      </c>
      <c r="G215" t="inlineStr">
        <is>
          <t>GRUMS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46274</v>
      </c>
      <c r="E216" s="1" t="n">
        <v>46299</v>
      </c>
      <c r="F216" t="inlineStr">
        <is>
          <t>VÄRMLANDS LÄN</t>
        </is>
      </c>
      <c r="G216" t="inlineStr">
        <is>
          <t>GRUMS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46299</v>
      </c>
      <c r="F217" t="inlineStr">
        <is>
          <t>VÄRMLANDS LÄN</t>
        </is>
      </c>
      <c r="G217" t="inlineStr">
        <is>
          <t>GRUMS</t>
        </is>
      </c>
      <c r="I217" t="n">
        <v>13.9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46299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46299</v>
      </c>
      <c r="F219" t="inlineStr">
        <is>
          <t>VÄRMLANDS LÄN</t>
        </is>
      </c>
      <c r="G219" t="inlineStr">
        <is>
          <t>GRUMS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45461</v>
      </c>
      <c r="E220" s="1" t="n">
        <v>46299</v>
      </c>
      <c r="F220" t="inlineStr">
        <is>
          <t>VÄRMLANDS LÄN</t>
        </is>
      </c>
      <c r="G220" t="inlineStr">
        <is>
          <t>GRUMS</t>
        </is>
      </c>
      <c r="I220" t="n">
        <v>12.8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46299</v>
      </c>
      <c r="F221" t="inlineStr">
        <is>
          <t>VÄRMLANDS LÄN</t>
        </is>
      </c>
      <c r="G221" t="inlineStr">
        <is>
          <t>GRUMS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46299</v>
      </c>
      <c r="F222" t="inlineStr">
        <is>
          <t>VÄRMLANDS LÄN</t>
        </is>
      </c>
      <c r="G222" t="inlineStr">
        <is>
          <t>GRUMS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46299</v>
      </c>
      <c r="F223" t="inlineStr">
        <is>
          <t>VÄRMLANDS LÄN</t>
        </is>
      </c>
      <c r="G223" t="inlineStr">
        <is>
          <t>GRUMS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46299</v>
      </c>
      <c r="F224" t="inlineStr">
        <is>
          <t>VÄRMLANDS LÄN</t>
        </is>
      </c>
      <c r="G224" t="inlineStr">
        <is>
          <t>GRUMS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64304-2023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45280</v>
      </c>
      <c r="E225" s="1" t="n">
        <v>46299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45208</v>
      </c>
      <c r="E226" s="1" t="n">
        <v>46299</v>
      </c>
      <c r="F226" t="inlineStr">
        <is>
          <t>VÄRMLANDS LÄN</t>
        </is>
      </c>
      <c r="G226" t="inlineStr">
        <is>
          <t>GRUMS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46299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46299</v>
      </c>
      <c r="F228" t="inlineStr">
        <is>
          <t>VÄRMLANDS LÄN</t>
        </is>
      </c>
      <c r="G228" t="inlineStr">
        <is>
          <t>GRUMS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46299</v>
      </c>
      <c r="F229" t="inlineStr">
        <is>
          <t>VÄRMLANDS LÄN</t>
        </is>
      </c>
      <c r="G229" t="inlineStr">
        <is>
          <t>GRUMS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32942-2026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46244</v>
      </c>
      <c r="E230" s="1" t="n">
        <v>46299</v>
      </c>
      <c r="F230" t="inlineStr">
        <is>
          <t>VÄRMLANDS LÄN</t>
        </is>
      </c>
      <c r="G230" t="inlineStr">
        <is>
          <t>GRUMS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66056-2021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44517</v>
      </c>
      <c r="E231" s="1" t="n">
        <v>46299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46299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7991-2024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45350</v>
      </c>
      <c r="E233" s="1" t="n">
        <v>46299</v>
      </c>
      <c r="F233" t="inlineStr">
        <is>
          <t>VÄRMLANDS LÄN</t>
        </is>
      </c>
      <c r="G233" t="inlineStr">
        <is>
          <t>GRUMS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46299</v>
      </c>
      <c r="F234" t="inlineStr">
        <is>
          <t>VÄRMLANDS LÄN</t>
        </is>
      </c>
      <c r="G234" t="inlineStr">
        <is>
          <t>GRUMS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45708</v>
      </c>
      <c r="E235" s="1" t="n">
        <v>46299</v>
      </c>
      <c r="F235" t="inlineStr">
        <is>
          <t>VÄRMLANDS LÄN</t>
        </is>
      </c>
      <c r="G235" t="inlineStr">
        <is>
          <t>GRUMS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73310-2021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44547</v>
      </c>
      <c r="E236" s="1" t="n">
        <v>46299</v>
      </c>
      <c r="F236" t="inlineStr">
        <is>
          <t>VÄRMLANDS LÄN</t>
        </is>
      </c>
      <c r="G236" t="inlineStr">
        <is>
          <t>GRUMS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71781-2021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44539</v>
      </c>
      <c r="E237" s="1" t="n">
        <v>46299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46299</v>
      </c>
      <c r="F238" t="inlineStr">
        <is>
          <t>VÄRMLANDS LÄN</t>
        </is>
      </c>
      <c r="G238" t="inlineStr">
        <is>
          <t>GRUMS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34538-2026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46255</v>
      </c>
      <c r="E239" s="1" t="n">
        <v>46299</v>
      </c>
      <c r="F239" t="inlineStr">
        <is>
          <t>VÄRMLANDS LÄN</t>
        </is>
      </c>
      <c r="G239" t="inlineStr">
        <is>
          <t>GRUMS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44762</v>
      </c>
      <c r="E240" s="1" t="n">
        <v>46299</v>
      </c>
      <c r="F240" t="inlineStr">
        <is>
          <t>VÄRMLANDS LÄN</t>
        </is>
      </c>
      <c r="G240" t="inlineStr">
        <is>
          <t>GRUMS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45757</v>
      </c>
      <c r="E241" s="1" t="n">
        <v>46299</v>
      </c>
      <c r="F241" t="inlineStr">
        <is>
          <t>VÄRMLANDS LÄN</t>
        </is>
      </c>
      <c r="G241" t="inlineStr">
        <is>
          <t>GRUMS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46299</v>
      </c>
      <c r="F242" t="inlineStr">
        <is>
          <t>VÄRMLANDS LÄN</t>
        </is>
      </c>
      <c r="G242" t="inlineStr">
        <is>
          <t>GRUMS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46299</v>
      </c>
      <c r="F243" t="inlineStr">
        <is>
          <t>VÄRMLANDS LÄN</t>
        </is>
      </c>
      <c r="G243" t="inlineStr">
        <is>
          <t>GRUMS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46299</v>
      </c>
      <c r="F244" t="inlineStr">
        <is>
          <t>VÄRMLANDS LÄN</t>
        </is>
      </c>
      <c r="G244" t="inlineStr">
        <is>
          <t>GRUMS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32959-2022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46299</v>
      </c>
      <c r="F245" t="inlineStr">
        <is>
          <t>VÄRMLANDS LÄN</t>
        </is>
      </c>
      <c r="G245" t="inlineStr">
        <is>
          <t>GRUMS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46299</v>
      </c>
      <c r="F246" t="inlineStr">
        <is>
          <t>VÄRMLANDS LÄN</t>
        </is>
      </c>
      <c r="G246" t="inlineStr">
        <is>
          <t>GRUMS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45435</v>
      </c>
      <c r="E247" s="1" t="n">
        <v>46299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7272-2022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44606</v>
      </c>
      <c r="E248" s="1" t="n">
        <v>46299</v>
      </c>
      <c r="F248" t="inlineStr">
        <is>
          <t>VÄRMLANDS LÄN</t>
        </is>
      </c>
      <c r="G248" t="inlineStr">
        <is>
          <t>GRUMS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46299</v>
      </c>
      <c r="F249" t="inlineStr">
        <is>
          <t>VÄRMLANDS LÄN</t>
        </is>
      </c>
      <c r="G249" t="inlineStr">
        <is>
          <t>GRUMS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45546</v>
      </c>
      <c r="E250" s="1" t="n">
        <v>46299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63919-2021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44509</v>
      </c>
      <c r="E251" s="1" t="n">
        <v>46299</v>
      </c>
      <c r="F251" t="inlineStr">
        <is>
          <t>VÄRMLANDS LÄN</t>
        </is>
      </c>
      <c r="G251" t="inlineStr">
        <is>
          <t>GRUMS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46299</v>
      </c>
      <c r="F252" t="inlineStr">
        <is>
          <t>VÄRMLANDS LÄN</t>
        </is>
      </c>
      <c r="G252" t="inlineStr">
        <is>
          <t>GRUMS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46299</v>
      </c>
      <c r="F253" t="inlineStr">
        <is>
          <t>VÄRMLANDS LÄN</t>
        </is>
      </c>
      <c r="G253" t="inlineStr">
        <is>
          <t>GRUMS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45448</v>
      </c>
      <c r="E254" s="1" t="n">
        <v>46299</v>
      </c>
      <c r="F254" t="inlineStr">
        <is>
          <t>VÄRMLANDS LÄN</t>
        </is>
      </c>
      <c r="G254" t="inlineStr">
        <is>
          <t>GRUMS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45427</v>
      </c>
      <c r="E255" s="1" t="n">
        <v>46299</v>
      </c>
      <c r="F255" t="inlineStr">
        <is>
          <t>VÄRMLANDS LÄN</t>
        </is>
      </c>
      <c r="G255" t="inlineStr">
        <is>
          <t>GRUMS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11601-2025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46299</v>
      </c>
      <c r="F256" t="inlineStr">
        <is>
          <t>VÄRMLANDS LÄN</t>
        </is>
      </c>
      <c r="G256" t="inlineStr">
        <is>
          <t>GRUMS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46299</v>
      </c>
      <c r="F257" t="inlineStr">
        <is>
          <t>VÄRMLANDS LÄN</t>
        </is>
      </c>
      <c r="G257" t="inlineStr">
        <is>
          <t>GRUMS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29577-2024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45484</v>
      </c>
      <c r="E258" s="1" t="n">
        <v>46299</v>
      </c>
      <c r="F258" t="inlineStr">
        <is>
          <t>VÄRMLANDS LÄN</t>
        </is>
      </c>
      <c r="G258" t="inlineStr">
        <is>
          <t>GRUMS</t>
        </is>
      </c>
      <c r="H258" t="inlineStr">
        <is>
          <t>Bergvik skog väst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44977</v>
      </c>
      <c r="E259" s="1" t="n">
        <v>46299</v>
      </c>
      <c r="F259" t="inlineStr">
        <is>
          <t>VÄRMLANDS LÄN</t>
        </is>
      </c>
      <c r="G259" t="inlineStr">
        <is>
          <t>GRUMS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46299</v>
      </c>
      <c r="F260" t="inlineStr">
        <is>
          <t>VÄRMLANDS LÄN</t>
        </is>
      </c>
      <c r="G260" t="inlineStr">
        <is>
          <t>GRUMS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45785</v>
      </c>
      <c r="E261" s="1" t="n">
        <v>46299</v>
      </c>
      <c r="F261" t="inlineStr">
        <is>
          <t>VÄRMLANDS LÄN</t>
        </is>
      </c>
      <c r="G261" t="inlineStr">
        <is>
          <t>GRUMS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22537-2025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45787</v>
      </c>
      <c r="E262" s="1" t="n">
        <v>46299</v>
      </c>
      <c r="F262" t="inlineStr">
        <is>
          <t>VÄRMLANDS LÄN</t>
        </is>
      </c>
      <c r="G262" t="inlineStr">
        <is>
          <t>GRUMS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2221-2023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45099</v>
      </c>
      <c r="E263" s="1" t="n">
        <v>46299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4473-2023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45272</v>
      </c>
      <c r="E264" s="1" t="n">
        <v>46299</v>
      </c>
      <c r="F264" t="inlineStr">
        <is>
          <t>VÄRMLANDS LÄN</t>
        </is>
      </c>
      <c r="G264" t="inlineStr">
        <is>
          <t>GRUMS</t>
        </is>
      </c>
      <c r="I264" t="n">
        <v>43.7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2137-2025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45846</v>
      </c>
      <c r="E265" s="1" t="n">
        <v>46299</v>
      </c>
      <c r="F265" t="inlineStr">
        <is>
          <t>VÄRMLANDS LÄN</t>
        </is>
      </c>
      <c r="G265" t="inlineStr">
        <is>
          <t>GRUMS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3158-2025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45973</v>
      </c>
      <c r="E266" s="1" t="n">
        <v>46299</v>
      </c>
      <c r="F266" t="inlineStr">
        <is>
          <t>VÄRMLANDS LÄN</t>
        </is>
      </c>
      <c r="G266" t="inlineStr">
        <is>
          <t>GRUMS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>
      <c r="A267" t="inlineStr">
        <is>
          <t>S 88-2026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46035</v>
      </c>
      <c r="E267" s="1" t="n">
        <v>46299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2026-10-04T01:57:19Z</dcterms:created>
  <dcterms:modified xmlns:dcterms="http://purl.org/dc/terms/" xmlns:xsi="http://www.w3.org/2001/XMLSchema-instance" xsi:type="dcterms:W3CDTF">2026-10-04T01:57:19Z</dcterms:modified>
</cp:coreProperties>
</file>