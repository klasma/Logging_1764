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45843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45843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45843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45843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45843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45843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45843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45843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45843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45843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45843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11143-2020</t>
        </is>
      </c>
      <c r="B13" s="1" t="n">
        <v>43891</v>
      </c>
      <c r="C13" s="1" t="n">
        <v>45843</v>
      </c>
      <c r="D13" t="inlineStr">
        <is>
          <t>VÄRMLANDS LÄN</t>
        </is>
      </c>
      <c r="E13" t="inlineStr">
        <is>
          <t>GRUMS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11143-2020 artfynd.xlsx", "A 11143-2020")</f>
        <v/>
      </c>
      <c r="T13">
        <f>HYPERLINK("https://klasma.github.io/Logging_1764/kartor/A 11143-2020 karta.png", "A 11143-2020")</f>
        <v/>
      </c>
      <c r="V13">
        <f>HYPERLINK("https://klasma.github.io/Logging_1764/klagomål/A 11143-2020 FSC-klagomål.docx", "A 11143-2020")</f>
        <v/>
      </c>
      <c r="W13">
        <f>HYPERLINK("https://klasma.github.io/Logging_1764/klagomålsmail/A 11143-2020 FSC-klagomål mail.docx", "A 11143-2020")</f>
        <v/>
      </c>
      <c r="X13">
        <f>HYPERLINK("https://klasma.github.io/Logging_1764/tillsyn/A 11143-2020 tillsynsbegäran.docx", "A 11143-2020")</f>
        <v/>
      </c>
      <c r="Y13">
        <f>HYPERLINK("https://klasma.github.io/Logging_1764/tillsynsmail/A 11143-2020 tillsynsbegäran mail.docx", "A 11143-2020")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45843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66053-2021</t>
        </is>
      </c>
      <c r="B15" s="1" t="n">
        <v>44517</v>
      </c>
      <c r="C15" s="1" t="n">
        <v>45843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34357-2022</t>
        </is>
      </c>
      <c r="B16" s="1" t="n">
        <v>44792</v>
      </c>
      <c r="C16" s="1" t="n">
        <v>45843</v>
      </c>
      <c r="D16" t="inlineStr">
        <is>
          <t>VÄRMLANDS LÄN</t>
        </is>
      </c>
      <c r="E16" t="inlineStr">
        <is>
          <t>GRUMS</t>
        </is>
      </c>
      <c r="G16" t="n">
        <v>15.3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34357-2022 artfynd.xlsx", "A 34357-2022")</f>
        <v/>
      </c>
      <c r="T16">
        <f>HYPERLINK("https://klasma.github.io/Logging_1764/kartor/A 34357-2022 karta.png", "A 34357-2022")</f>
        <v/>
      </c>
      <c r="V16">
        <f>HYPERLINK("https://klasma.github.io/Logging_1764/klagomål/A 34357-2022 FSC-klagomål.docx", "A 34357-2022")</f>
        <v/>
      </c>
      <c r="W16">
        <f>HYPERLINK("https://klasma.github.io/Logging_1764/klagomålsmail/A 34357-2022 FSC-klagomål mail.docx", "A 34357-2022")</f>
        <v/>
      </c>
      <c r="X16">
        <f>HYPERLINK("https://klasma.github.io/Logging_1764/tillsyn/A 34357-2022 tillsynsbegäran.docx", "A 34357-2022")</f>
        <v/>
      </c>
      <c r="Y16">
        <f>HYPERLINK("https://klasma.github.io/Logging_1764/tillsynsmail/A 34357-2022 tillsynsbegäran mail.docx", "A 34357-2022")</f>
        <v/>
      </c>
    </row>
    <row r="17" ht="15" customHeight="1">
      <c r="A17" t="inlineStr">
        <is>
          <t>A 40441-2022</t>
        </is>
      </c>
      <c r="B17" s="1" t="n">
        <v>44819</v>
      </c>
      <c r="C17" s="1" t="n">
        <v>45843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9.199999999999999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HYPERLINK("https://klasma.github.io/Logging_1764/artfynd/A 40441-2022 artfynd.xlsx", "A 40441-2022")</f>
        <v/>
      </c>
      <c r="T17">
        <f>HYPERLINK("https://klasma.github.io/Logging_1764/kartor/A 40441-2022 karta.png", "A 40441-2022")</f>
        <v/>
      </c>
      <c r="V17">
        <f>HYPERLINK("https://klasma.github.io/Logging_1764/klagomål/A 40441-2022 FSC-klagomål.docx", "A 40441-2022")</f>
        <v/>
      </c>
      <c r="W17">
        <f>HYPERLINK("https://klasma.github.io/Logging_1764/klagomålsmail/A 40441-2022 FSC-klagomål mail.docx", "A 40441-2022")</f>
        <v/>
      </c>
      <c r="X17">
        <f>HYPERLINK("https://klasma.github.io/Logging_1764/tillsyn/A 40441-2022 tillsynsbegäran.docx", "A 40441-2022")</f>
        <v/>
      </c>
      <c r="Y17">
        <f>HYPERLINK("https://klasma.github.io/Logging_1764/tillsynsmail/A 40441-2022 tillsynsbegäran mail.docx", "A 40441-2022")</f>
        <v/>
      </c>
      <c r="Z17">
        <f>HYPERLINK("https://klasma.github.io/Logging_1764/fåglar/A 40441-2022 prioriterade fågelarter.docx", "A 40441-2022")</f>
        <v/>
      </c>
    </row>
    <row r="18" ht="15" customHeight="1">
      <c r="A18" t="inlineStr">
        <is>
          <t>A 5220-2023</t>
        </is>
      </c>
      <c r="B18" s="1" t="n">
        <v>44956</v>
      </c>
      <c r="C18" s="1" t="n">
        <v>45843</v>
      </c>
      <c r="D18" t="inlineStr">
        <is>
          <t>VÄRMLANDS LÄN</t>
        </is>
      </c>
      <c r="E18" t="inlineStr">
        <is>
          <t>GRUMS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5220-2023 artfynd.xlsx", "A 5220-2023")</f>
        <v/>
      </c>
      <c r="T18">
        <f>HYPERLINK("https://klasma.github.io/Logging_1764/kartor/A 5220-2023 karta.png", "A 5220-2023")</f>
        <v/>
      </c>
      <c r="V18">
        <f>HYPERLINK("https://klasma.github.io/Logging_1764/klagomål/A 5220-2023 FSC-klagomål.docx", "A 5220-2023")</f>
        <v/>
      </c>
      <c r="W18">
        <f>HYPERLINK("https://klasma.github.io/Logging_1764/klagomålsmail/A 5220-2023 FSC-klagomål mail.docx", "A 5220-2023")</f>
        <v/>
      </c>
      <c r="X18">
        <f>HYPERLINK("https://klasma.github.io/Logging_1764/tillsyn/A 5220-2023 tillsynsbegäran.docx", "A 5220-2023")</f>
        <v/>
      </c>
      <c r="Y18">
        <f>HYPERLINK("https://klasma.github.io/Logging_1764/tillsynsmail/A 5220-2023 tillsynsbegäran mail.docx", "A 5220-2023")</f>
        <v/>
      </c>
    </row>
    <row r="19" ht="15" customHeight="1">
      <c r="A19" t="inlineStr">
        <is>
          <t>A 15321-2023</t>
        </is>
      </c>
      <c r="B19" s="1" t="n">
        <v>45019</v>
      </c>
      <c r="C19" s="1" t="n">
        <v>45843</v>
      </c>
      <c r="D19" t="inlineStr">
        <is>
          <t>VÄRMLANDS LÄN</t>
        </is>
      </c>
      <c r="E19" t="inlineStr">
        <is>
          <t>GRUMS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HYPERLINK("https://klasma.github.io/Logging_1764/artfynd/A 15321-2023 artfynd.xlsx", "A 15321-2023")</f>
        <v/>
      </c>
      <c r="T19">
        <f>HYPERLINK("https://klasma.github.io/Logging_1764/kartor/A 15321-2023 karta.png", "A 15321-2023")</f>
        <v/>
      </c>
      <c r="V19">
        <f>HYPERLINK("https://klasma.github.io/Logging_1764/klagomål/A 15321-2023 FSC-klagomål.docx", "A 15321-2023")</f>
        <v/>
      </c>
      <c r="W19">
        <f>HYPERLINK("https://klasma.github.io/Logging_1764/klagomålsmail/A 15321-2023 FSC-klagomål mail.docx", "A 15321-2023")</f>
        <v/>
      </c>
      <c r="X19">
        <f>HYPERLINK("https://klasma.github.io/Logging_1764/tillsyn/A 15321-2023 tillsynsbegäran.docx", "A 15321-2023")</f>
        <v/>
      </c>
      <c r="Y19">
        <f>HYPERLINK("https://klasma.github.io/Logging_1764/tillsynsmail/A 15321-2023 tillsynsbegäran mail.docx", "A 15321-2023")</f>
        <v/>
      </c>
    </row>
    <row r="20" ht="15" customHeight="1">
      <c r="A20" t="inlineStr">
        <is>
          <t>A 23860-2023</t>
        </is>
      </c>
      <c r="B20" s="1" t="n">
        <v>45078</v>
      </c>
      <c r="C20" s="1" t="n">
        <v>45843</v>
      </c>
      <c r="D20" t="inlineStr">
        <is>
          <t>VÄRMLANDS LÄN</t>
        </is>
      </c>
      <c r="E20" t="inlineStr">
        <is>
          <t>GRUMS</t>
        </is>
      </c>
      <c r="G20" t="n">
        <v>3.5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HYPERLINK("https://klasma.github.io/Logging_1764/artfynd/A 23860-2023 artfynd.xlsx", "A 23860-2023")</f>
        <v/>
      </c>
      <c r="T20">
        <f>HYPERLINK("https://klasma.github.io/Logging_1764/kartor/A 23860-2023 karta.png", "A 23860-2023")</f>
        <v/>
      </c>
      <c r="V20">
        <f>HYPERLINK("https://klasma.github.io/Logging_1764/klagomål/A 23860-2023 FSC-klagomål.docx", "A 23860-2023")</f>
        <v/>
      </c>
      <c r="W20">
        <f>HYPERLINK("https://klasma.github.io/Logging_1764/klagomålsmail/A 23860-2023 FSC-klagomål mail.docx", "A 23860-2023")</f>
        <v/>
      </c>
      <c r="X20">
        <f>HYPERLINK("https://klasma.github.io/Logging_1764/tillsyn/A 23860-2023 tillsynsbegäran.docx", "A 23860-2023")</f>
        <v/>
      </c>
      <c r="Y20">
        <f>HYPERLINK("https://klasma.github.io/Logging_1764/tillsynsmail/A 23860-2023 tillsynsbegäran mail.docx", "A 23860-2023")</f>
        <v/>
      </c>
      <c r="Z20">
        <f>HYPERLINK("https://klasma.github.io/Logging_1764/fåglar/A 23860-2023 prioriterade fågelarter.docx", "A 23860-2023")</f>
        <v/>
      </c>
    </row>
    <row r="21" ht="15" customHeight="1">
      <c r="A21" t="inlineStr">
        <is>
          <t>A 8665-2024</t>
        </is>
      </c>
      <c r="B21" s="1" t="n">
        <v>45352</v>
      </c>
      <c r="C21" s="1" t="n">
        <v>45843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8665-2024 artfynd.xlsx", "A 8665-2024")</f>
        <v/>
      </c>
      <c r="T21">
        <f>HYPERLINK("https://klasma.github.io/Logging_1764/kartor/A 8665-2024 karta.png", "A 8665-2024")</f>
        <v/>
      </c>
      <c r="V21">
        <f>HYPERLINK("https://klasma.github.io/Logging_1764/klagomål/A 8665-2024 FSC-klagomål.docx", "A 8665-2024")</f>
        <v/>
      </c>
      <c r="W21">
        <f>HYPERLINK("https://klasma.github.io/Logging_1764/klagomålsmail/A 8665-2024 FSC-klagomål mail.docx", "A 8665-2024")</f>
        <v/>
      </c>
      <c r="X21">
        <f>HYPERLINK("https://klasma.github.io/Logging_1764/tillsyn/A 8665-2024 tillsynsbegäran.docx", "A 8665-2024")</f>
        <v/>
      </c>
      <c r="Y21">
        <f>HYPERLINK("https://klasma.github.io/Logging_1764/tillsynsmail/A 8665-2024 tillsynsbegäran mail.docx", "A 8665-2024")</f>
        <v/>
      </c>
    </row>
    <row r="22" ht="15" customHeight="1">
      <c r="A22" t="inlineStr">
        <is>
          <t>A 28237-2024</t>
        </is>
      </c>
      <c r="B22" s="1" t="n">
        <v>45477</v>
      </c>
      <c r="C22" s="1" t="n">
        <v>45843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HYPERLINK("https://klasma.github.io/Logging_1764/artfynd/A 28237-2024 artfynd.xlsx", "A 28237-2024")</f>
        <v/>
      </c>
      <c r="T22">
        <f>HYPERLINK("https://klasma.github.io/Logging_1764/kartor/A 28237-2024 karta.png", "A 28237-2024")</f>
        <v/>
      </c>
      <c r="V22">
        <f>HYPERLINK("https://klasma.github.io/Logging_1764/klagomål/A 28237-2024 FSC-klagomål.docx", "A 28237-2024")</f>
        <v/>
      </c>
      <c r="W22">
        <f>HYPERLINK("https://klasma.github.io/Logging_1764/klagomålsmail/A 28237-2024 FSC-klagomål mail.docx", "A 28237-2024")</f>
        <v/>
      </c>
      <c r="X22">
        <f>HYPERLINK("https://klasma.github.io/Logging_1764/tillsyn/A 28237-2024 tillsynsbegäran.docx", "A 28237-2024")</f>
        <v/>
      </c>
      <c r="Y22">
        <f>HYPERLINK("https://klasma.github.io/Logging_1764/tillsynsmail/A 28237-2024 tillsynsbegäran mail.docx", "A 28237-2024")</f>
        <v/>
      </c>
    </row>
    <row r="23" ht="15" customHeight="1">
      <c r="A23" t="inlineStr">
        <is>
          <t>A 30828-2024</t>
        </is>
      </c>
      <c r="B23" s="1" t="n">
        <v>45497</v>
      </c>
      <c r="C23" s="1" t="n">
        <v>45843</v>
      </c>
      <c r="D23" t="inlineStr">
        <is>
          <t>VÄRMLANDS LÄN</t>
        </is>
      </c>
      <c r="E23" t="inlineStr">
        <is>
          <t>GRUMS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HYPERLINK("https://klasma.github.io/Logging_1764/artfynd/A 30828-2024 artfynd.xlsx", "A 30828-2024")</f>
        <v/>
      </c>
      <c r="T23">
        <f>HYPERLINK("https://klasma.github.io/Logging_1764/kartor/A 30828-2024 karta.png", "A 30828-2024")</f>
        <v/>
      </c>
      <c r="V23">
        <f>HYPERLINK("https://klasma.github.io/Logging_1764/klagomål/A 30828-2024 FSC-klagomål.docx", "A 30828-2024")</f>
        <v/>
      </c>
      <c r="W23">
        <f>HYPERLINK("https://klasma.github.io/Logging_1764/klagomålsmail/A 30828-2024 FSC-klagomål mail.docx", "A 30828-2024")</f>
        <v/>
      </c>
      <c r="X23">
        <f>HYPERLINK("https://klasma.github.io/Logging_1764/tillsyn/A 30828-2024 tillsynsbegäran.docx", "A 30828-2024")</f>
        <v/>
      </c>
      <c r="Y23">
        <f>HYPERLINK("https://klasma.github.io/Logging_1764/tillsynsmail/A 30828-2024 tillsynsbegäran mail.docx", "A 30828-2024")</f>
        <v/>
      </c>
    </row>
    <row r="24" ht="15" customHeight="1">
      <c r="A24" t="inlineStr">
        <is>
          <t>A 35077-2024</t>
        </is>
      </c>
      <c r="B24" s="1" t="n">
        <v>45527</v>
      </c>
      <c r="C24" s="1" t="n">
        <v>45843</v>
      </c>
      <c r="D24" t="inlineStr">
        <is>
          <t>VÄRMLANDS LÄN</t>
        </is>
      </c>
      <c r="E24" t="inlineStr">
        <is>
          <t>GRUMS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HYPERLINK("https://klasma.github.io/Logging_1764/artfynd/A 35077-2024 artfynd.xlsx", "A 35077-2024")</f>
        <v/>
      </c>
      <c r="T24">
        <f>HYPERLINK("https://klasma.github.io/Logging_1764/kartor/A 35077-2024 karta.png", "A 35077-2024")</f>
        <v/>
      </c>
      <c r="U24">
        <f>HYPERLINK("https://klasma.github.io/Logging_1764/knärot/A 35077-2024 karta knärot.png", "A 35077-2024")</f>
        <v/>
      </c>
      <c r="V24">
        <f>HYPERLINK("https://klasma.github.io/Logging_1764/klagomål/A 35077-2024 FSC-klagomål.docx", "A 35077-2024")</f>
        <v/>
      </c>
      <c r="W24">
        <f>HYPERLINK("https://klasma.github.io/Logging_1764/klagomålsmail/A 35077-2024 FSC-klagomål mail.docx", "A 35077-2024")</f>
        <v/>
      </c>
      <c r="X24">
        <f>HYPERLINK("https://klasma.github.io/Logging_1764/tillsyn/A 35077-2024 tillsynsbegäran.docx", "A 35077-2024")</f>
        <v/>
      </c>
      <c r="Y24">
        <f>HYPERLINK("https://klasma.github.io/Logging_1764/tillsynsmail/A 35077-2024 tillsynsbegäran mail.docx", "A 35077-2024")</f>
        <v/>
      </c>
    </row>
    <row r="25" ht="15" customHeight="1">
      <c r="A25" t="inlineStr">
        <is>
          <t>A 38420-2024</t>
        </is>
      </c>
      <c r="B25" s="1" t="n">
        <v>45546</v>
      </c>
      <c r="C25" s="1" t="n">
        <v>45843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HYPERLINK("https://klasma.github.io/Logging_1764/artfynd/A 38420-2024 artfynd.xlsx", "A 38420-2024")</f>
        <v/>
      </c>
      <c r="T25">
        <f>HYPERLINK("https://klasma.github.io/Logging_1764/kartor/A 38420-2024 karta.png", "A 38420-2024")</f>
        <v/>
      </c>
      <c r="V25">
        <f>HYPERLINK("https://klasma.github.io/Logging_1764/klagomål/A 38420-2024 FSC-klagomål.docx", "A 38420-2024")</f>
        <v/>
      </c>
      <c r="W25">
        <f>HYPERLINK("https://klasma.github.io/Logging_1764/klagomålsmail/A 38420-2024 FSC-klagomål mail.docx", "A 38420-2024")</f>
        <v/>
      </c>
      <c r="X25">
        <f>HYPERLINK("https://klasma.github.io/Logging_1764/tillsyn/A 38420-2024 tillsynsbegäran.docx", "A 38420-2024")</f>
        <v/>
      </c>
      <c r="Y25">
        <f>HYPERLINK("https://klasma.github.io/Logging_1764/tillsynsmail/A 38420-2024 tillsynsbegäran mail.docx", "A 38420-2024")</f>
        <v/>
      </c>
    </row>
    <row r="26" ht="15" customHeight="1">
      <c r="A26" t="inlineStr">
        <is>
          <t>A 56071-2024</t>
        </is>
      </c>
      <c r="B26" s="1" t="n">
        <v>45624</v>
      </c>
      <c r="C26" s="1" t="n">
        <v>45843</v>
      </c>
      <c r="D26" t="inlineStr">
        <is>
          <t>VÄRMLANDS LÄN</t>
        </is>
      </c>
      <c r="E26" t="inlineStr">
        <is>
          <t>GRUMS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Krusfrö</t>
        </is>
      </c>
      <c r="S26">
        <f>HYPERLINK("https://klasma.github.io/Logging_1764/artfynd/A 56071-2024 artfynd.xlsx", "A 56071-2024")</f>
        <v/>
      </c>
      <c r="T26">
        <f>HYPERLINK("https://klasma.github.io/Logging_1764/kartor/A 56071-2024 karta.png", "A 56071-2024")</f>
        <v/>
      </c>
      <c r="V26">
        <f>HYPERLINK("https://klasma.github.io/Logging_1764/klagomål/A 56071-2024 FSC-klagomål.docx", "A 56071-2024")</f>
        <v/>
      </c>
      <c r="W26">
        <f>HYPERLINK("https://klasma.github.io/Logging_1764/klagomålsmail/A 56071-2024 FSC-klagomål mail.docx", "A 56071-2024")</f>
        <v/>
      </c>
      <c r="X26">
        <f>HYPERLINK("https://klasma.github.io/Logging_1764/tillsyn/A 56071-2024 tillsynsbegäran.docx", "A 56071-2024")</f>
        <v/>
      </c>
      <c r="Y26">
        <f>HYPERLINK("https://klasma.github.io/Logging_1764/tillsynsmail/A 56071-2024 tillsynsbegäran mail.docx", "A 56071-2024")</f>
        <v/>
      </c>
    </row>
    <row r="27" ht="15" customHeight="1">
      <c r="A27" t="inlineStr">
        <is>
          <t>A 8363-2025</t>
        </is>
      </c>
      <c r="B27" s="1" t="n">
        <v>45708</v>
      </c>
      <c r="C27" s="1" t="n">
        <v>45843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Mandelriska</t>
        </is>
      </c>
      <c r="S27">
        <f>HYPERLINK("https://klasma.github.io/Logging_1764/artfynd/A 8363-2025 artfynd.xlsx", "A 8363-2025")</f>
        <v/>
      </c>
      <c r="T27">
        <f>HYPERLINK("https://klasma.github.io/Logging_1764/kartor/A 8363-2025 karta.png", "A 8363-2025")</f>
        <v/>
      </c>
      <c r="V27">
        <f>HYPERLINK("https://klasma.github.io/Logging_1764/klagomål/A 8363-2025 FSC-klagomål.docx", "A 8363-2025")</f>
        <v/>
      </c>
      <c r="W27">
        <f>HYPERLINK("https://klasma.github.io/Logging_1764/klagomålsmail/A 8363-2025 FSC-klagomål mail.docx", "A 8363-2025")</f>
        <v/>
      </c>
      <c r="X27">
        <f>HYPERLINK("https://klasma.github.io/Logging_1764/tillsyn/A 8363-2025 tillsynsbegäran.docx", "A 8363-2025")</f>
        <v/>
      </c>
      <c r="Y27">
        <f>HYPERLINK("https://klasma.github.io/Logging_1764/tillsynsmail/A 8363-2025 tillsynsbegäran mail.docx", "A 8363-2025")</f>
        <v/>
      </c>
    </row>
    <row r="28" ht="15" customHeight="1">
      <c r="A28" t="inlineStr">
        <is>
          <t>A 26662-2025</t>
        </is>
      </c>
      <c r="B28" s="1" t="n">
        <v>45810</v>
      </c>
      <c r="C28" s="1" t="n">
        <v>45843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HYPERLINK("https://klasma.github.io/Logging_171764/artfynd/A 26662-2025 artfynd.xlsx", "A 26662-2025")</f>
        <v/>
      </c>
      <c r="T28">
        <f>HYPERLINK("https://klasma.github.io/Logging_171764/kartor/A 26662-2025 karta.png", "A 26662-2025")</f>
        <v/>
      </c>
      <c r="V28">
        <f>HYPERLINK("https://klasma.github.io/Logging_171764/klagomål/A 26662-2025 FSC-klagomål.docx", "A 26662-2025")</f>
        <v/>
      </c>
      <c r="W28">
        <f>HYPERLINK("https://klasma.github.io/Logging_171764/klagomålsmail/A 26662-2025 FSC-klagomål mail.docx", "A 26662-2025")</f>
        <v/>
      </c>
      <c r="X28">
        <f>HYPERLINK("https://klasma.github.io/Logging_171764/tillsyn/A 26662-2025 tillsynsbegäran.docx", "A 26662-2025")</f>
        <v/>
      </c>
      <c r="Y28">
        <f>HYPERLINK("https://klasma.github.io/Logging_171764/tillsynsmail/A 26662-2025 tillsynsbegäran mail.docx", "A 26662-2025")</f>
        <v/>
      </c>
    </row>
    <row r="29" ht="15" customHeight="1">
      <c r="A29" t="inlineStr">
        <is>
          <t>A 30406-2025</t>
        </is>
      </c>
      <c r="B29" s="1" t="n">
        <v>45827</v>
      </c>
      <c r="C29" s="1" t="n">
        <v>45843</v>
      </c>
      <c r="D29" t="inlineStr">
        <is>
          <t>VÄRMLANDS LÄN</t>
        </is>
      </c>
      <c r="E29" t="inlineStr">
        <is>
          <t>GRUMS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HYPERLINK("https://klasma.github.io/Logging_171764/artfynd/A 30406-2025 artfynd.xlsx", "A 30406-2025")</f>
        <v/>
      </c>
      <c r="T29">
        <f>HYPERLINK("https://klasma.github.io/Logging_171764/kartor/A 30406-2025 karta.png", "A 30406-2025")</f>
        <v/>
      </c>
      <c r="V29">
        <f>HYPERLINK("https://klasma.github.io/Logging_171764/klagomål/A 30406-2025 FSC-klagomål.docx", "A 30406-2025")</f>
        <v/>
      </c>
      <c r="W29">
        <f>HYPERLINK("https://klasma.github.io/Logging_171764/klagomålsmail/A 30406-2025 FSC-klagomål mail.docx", "A 30406-2025")</f>
        <v/>
      </c>
      <c r="X29">
        <f>HYPERLINK("https://klasma.github.io/Logging_171764/tillsyn/A 30406-2025 tillsynsbegäran.docx", "A 30406-2025")</f>
        <v/>
      </c>
      <c r="Y29">
        <f>HYPERLINK("https://klasma.github.io/Logging_171764/tillsynsmail/A 30406-2025 tillsynsbegäran mail.docx", "A 30406-2025")</f>
        <v/>
      </c>
      <c r="Z29">
        <f>HYPERLINK("https://klasma.github.io/Logging_171764/fåglar/A 30406-2025 prioriterade fågelarter.docx", "A 30406-2025")</f>
        <v/>
      </c>
    </row>
    <row r="30" ht="15" customHeight="1">
      <c r="A30" t="inlineStr">
        <is>
          <t>A 17868-2019</t>
        </is>
      </c>
      <c r="B30" s="1" t="n">
        <v>43557</v>
      </c>
      <c r="C30" s="1" t="n">
        <v>45843</v>
      </c>
      <c r="D30" t="inlineStr">
        <is>
          <t>VÄRMLANDS LÄN</t>
        </is>
      </c>
      <c r="E30" t="inlineStr">
        <is>
          <t>GRUMS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18549-2019</t>
        </is>
      </c>
      <c r="B31" s="1" t="n">
        <v>43559</v>
      </c>
      <c r="C31" s="1" t="n">
        <v>45843</v>
      </c>
      <c r="D31" t="inlineStr">
        <is>
          <t>VÄRMLANDS LÄN</t>
        </is>
      </c>
      <c r="E31" t="inlineStr">
        <is>
          <t>GRUMS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18773-2019</t>
        </is>
      </c>
      <c r="B32" s="1" t="n">
        <v>43561</v>
      </c>
      <c r="C32" s="1" t="n">
        <v>45843</v>
      </c>
      <c r="D32" t="inlineStr">
        <is>
          <t>VÄRMLANDS LÄN</t>
        </is>
      </c>
      <c r="E32" t="inlineStr">
        <is>
          <t>GRUMS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18881-2019</t>
        </is>
      </c>
      <c r="B33" s="1" t="n">
        <v>43563</v>
      </c>
      <c r="C33" s="1" t="n">
        <v>45843</v>
      </c>
      <c r="D33" t="inlineStr">
        <is>
          <t>VÄRMLANDS LÄN</t>
        </is>
      </c>
      <c r="E33" t="inlineStr">
        <is>
          <t>GRUMS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19148-2019</t>
        </is>
      </c>
      <c r="B34" s="1" t="n">
        <v>43564</v>
      </c>
      <c r="C34" s="1" t="n">
        <v>45843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19144-2019</t>
        </is>
      </c>
      <c r="B35" s="1" t="n">
        <v>43564</v>
      </c>
      <c r="C35" s="1" t="n">
        <v>45843</v>
      </c>
      <c r="D35" t="inlineStr">
        <is>
          <t>VÄRMLANDS LÄN</t>
        </is>
      </c>
      <c r="E35" t="inlineStr">
        <is>
          <t>GRUMS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20772-2019</t>
        </is>
      </c>
      <c r="B36" s="1" t="n">
        <v>43573</v>
      </c>
      <c r="C36" s="1" t="n">
        <v>45843</v>
      </c>
      <c r="D36" t="inlineStr">
        <is>
          <t>VÄRMLANDS LÄN</t>
        </is>
      </c>
      <c r="E36" t="inlineStr">
        <is>
          <t>GRUMS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21301-2019</t>
        </is>
      </c>
      <c r="B37" s="1" t="n">
        <v>43579</v>
      </c>
      <c r="C37" s="1" t="n">
        <v>45843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22342-2019</t>
        </is>
      </c>
      <c r="B38" s="1" t="n">
        <v>43587</v>
      </c>
      <c r="C38" s="1" t="n">
        <v>45843</v>
      </c>
      <c r="D38" t="inlineStr">
        <is>
          <t>VÄRMLANDS LÄN</t>
        </is>
      </c>
      <c r="E38" t="inlineStr">
        <is>
          <t>GRUMS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22657-2019</t>
        </is>
      </c>
      <c r="B39" s="1" t="n">
        <v>43588</v>
      </c>
      <c r="C39" s="1" t="n">
        <v>45843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22654-2019</t>
        </is>
      </c>
      <c r="B40" s="1" t="n">
        <v>43588</v>
      </c>
      <c r="C40" s="1" t="n">
        <v>45843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22840-2019</t>
        </is>
      </c>
      <c r="B41" s="1" t="n">
        <v>43591</v>
      </c>
      <c r="C41" s="1" t="n">
        <v>45843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24290-2019</t>
        </is>
      </c>
      <c r="B42" s="1" t="n">
        <v>43599</v>
      </c>
      <c r="C42" s="1" t="n">
        <v>45843</v>
      </c>
      <c r="D42" t="inlineStr">
        <is>
          <t>VÄRMLANDS LÄN</t>
        </is>
      </c>
      <c r="E42" t="inlineStr">
        <is>
          <t>GRUMS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24733-2019</t>
        </is>
      </c>
      <c r="B43" s="1" t="n">
        <v>43601</v>
      </c>
      <c r="C43" s="1" t="n">
        <v>45843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25233-2019</t>
        </is>
      </c>
      <c r="B44" s="1" t="n">
        <v>43601</v>
      </c>
      <c r="C44" s="1" t="n">
        <v>45843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25228-2019</t>
        </is>
      </c>
      <c r="B45" s="1" t="n">
        <v>43601</v>
      </c>
      <c r="C45" s="1" t="n">
        <v>45843</v>
      </c>
      <c r="D45" t="inlineStr">
        <is>
          <t>VÄRMLANDS LÄN</t>
        </is>
      </c>
      <c r="E45" t="inlineStr">
        <is>
          <t>GRUMS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25226-2019</t>
        </is>
      </c>
      <c r="B46" s="1" t="n">
        <v>43605</v>
      </c>
      <c r="C46" s="1" t="n">
        <v>45843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27805-2019</t>
        </is>
      </c>
      <c r="B47" s="1" t="n">
        <v>43612</v>
      </c>
      <c r="C47" s="1" t="n">
        <v>45843</v>
      </c>
      <c r="D47" t="inlineStr">
        <is>
          <t>VÄRMLANDS LÄN</t>
        </is>
      </c>
      <c r="E47" t="inlineStr">
        <is>
          <t>GRUMS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26658-2019</t>
        </is>
      </c>
      <c r="B48" s="1" t="n">
        <v>43613</v>
      </c>
      <c r="C48" s="1" t="n">
        <v>45843</v>
      </c>
      <c r="D48" t="inlineStr">
        <is>
          <t>VÄRMLANDS LÄN</t>
        </is>
      </c>
      <c r="E48" t="inlineStr">
        <is>
          <t>GRUMS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28062-2019</t>
        </is>
      </c>
      <c r="B49" s="1" t="n">
        <v>43613</v>
      </c>
      <c r="C49" s="1" t="n">
        <v>45843</v>
      </c>
      <c r="D49" t="inlineStr">
        <is>
          <t>VÄRMLANDS LÄN</t>
        </is>
      </c>
      <c r="E49" t="inlineStr">
        <is>
          <t>GRUMS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27172-2019</t>
        </is>
      </c>
      <c r="B50" s="1" t="n">
        <v>43614</v>
      </c>
      <c r="C50" s="1" t="n">
        <v>45843</v>
      </c>
      <c r="D50" t="inlineStr">
        <is>
          <t>VÄRMLANDS LÄN</t>
        </is>
      </c>
      <c r="E50" t="inlineStr">
        <is>
          <t>GRUMS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30888-2019</t>
        </is>
      </c>
      <c r="B51" s="1" t="n">
        <v>43636</v>
      </c>
      <c r="C51" s="1" t="n">
        <v>45843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32057-2019</t>
        </is>
      </c>
      <c r="B52" s="1" t="n">
        <v>43642</v>
      </c>
      <c r="C52" s="1" t="n">
        <v>45843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32068-2019</t>
        </is>
      </c>
      <c r="B53" s="1" t="n">
        <v>43642</v>
      </c>
      <c r="C53" s="1" t="n">
        <v>45843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32071-2019</t>
        </is>
      </c>
      <c r="B54" s="1" t="n">
        <v>43642</v>
      </c>
      <c r="C54" s="1" t="n">
        <v>45843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31981-2019</t>
        </is>
      </c>
      <c r="B55" s="1" t="n">
        <v>43643</v>
      </c>
      <c r="C55" s="1" t="n">
        <v>45843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34250-2019</t>
        </is>
      </c>
      <c r="B56" s="1" t="n">
        <v>43655</v>
      </c>
      <c r="C56" s="1" t="n">
        <v>45843</v>
      </c>
      <c r="D56" t="inlineStr">
        <is>
          <t>VÄRMLANDS LÄN</t>
        </is>
      </c>
      <c r="E56" t="inlineStr">
        <is>
          <t>GRUMS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37224-2019</t>
        </is>
      </c>
      <c r="B57" s="1" t="n">
        <v>43676</v>
      </c>
      <c r="C57" s="1" t="n">
        <v>45843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37370-2019</t>
        </is>
      </c>
      <c r="B58" s="1" t="n">
        <v>43678</v>
      </c>
      <c r="C58" s="1" t="n">
        <v>45843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42238-2019</t>
        </is>
      </c>
      <c r="B59" s="1" t="n">
        <v>43698</v>
      </c>
      <c r="C59" s="1" t="n">
        <v>45843</v>
      </c>
      <c r="D59" t="inlineStr">
        <is>
          <t>VÄRMLANDS LÄN</t>
        </is>
      </c>
      <c r="E59" t="inlineStr">
        <is>
          <t>GRUMS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44167-2019</t>
        </is>
      </c>
      <c r="B60" s="1" t="n">
        <v>43710</v>
      </c>
      <c r="C60" s="1" t="n">
        <v>45843</v>
      </c>
      <c r="D60" t="inlineStr">
        <is>
          <t>VÄRMLANDS LÄN</t>
        </is>
      </c>
      <c r="E60" t="inlineStr">
        <is>
          <t>GRUMS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45803-2019</t>
        </is>
      </c>
      <c r="B61" s="1" t="n">
        <v>43717</v>
      </c>
      <c r="C61" s="1" t="n">
        <v>45843</v>
      </c>
      <c r="D61" t="inlineStr">
        <is>
          <t>VÄRMLANDS LÄN</t>
        </is>
      </c>
      <c r="E61" t="inlineStr">
        <is>
          <t>GRUMS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47481-2019</t>
        </is>
      </c>
      <c r="B62" s="1" t="n">
        <v>43724</v>
      </c>
      <c r="C62" s="1" t="n">
        <v>45843</v>
      </c>
      <c r="D62" t="inlineStr">
        <is>
          <t>VÄRMLANDS LÄN</t>
        </is>
      </c>
      <c r="E62" t="inlineStr">
        <is>
          <t>GRUMS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58898-2019</t>
        </is>
      </c>
      <c r="B63" s="1" t="n">
        <v>43768</v>
      </c>
      <c r="C63" s="1" t="n">
        <v>45843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58858-2019</t>
        </is>
      </c>
      <c r="B64" s="1" t="n">
        <v>43768</v>
      </c>
      <c r="C64" s="1" t="n">
        <v>45843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58880-2019</t>
        </is>
      </c>
      <c r="B65" s="1" t="n">
        <v>43768</v>
      </c>
      <c r="C65" s="1" t="n">
        <v>45843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59968-2019</t>
        </is>
      </c>
      <c r="B66" s="1" t="n">
        <v>43775</v>
      </c>
      <c r="C66" s="1" t="n">
        <v>45843</v>
      </c>
      <c r="D66" t="inlineStr">
        <is>
          <t>VÄRMLANDS LÄN</t>
        </is>
      </c>
      <c r="E66" t="inlineStr">
        <is>
          <t>GRUMS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61449-2019</t>
        </is>
      </c>
      <c r="B67" s="1" t="n">
        <v>43780</v>
      </c>
      <c r="C67" s="1" t="n">
        <v>45843</v>
      </c>
      <c r="D67" t="inlineStr">
        <is>
          <t>VÄRMLANDS LÄN</t>
        </is>
      </c>
      <c r="E67" t="inlineStr">
        <is>
          <t>GRUMS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63284-2019</t>
        </is>
      </c>
      <c r="B68" s="1" t="n">
        <v>43787</v>
      </c>
      <c r="C68" s="1" t="n">
        <v>45843</v>
      </c>
      <c r="D68" t="inlineStr">
        <is>
          <t>VÄRMLANDS LÄN</t>
        </is>
      </c>
      <c r="E68" t="inlineStr">
        <is>
          <t>GRUMS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63775-2019</t>
        </is>
      </c>
      <c r="B69" s="1" t="n">
        <v>43795</v>
      </c>
      <c r="C69" s="1" t="n">
        <v>45843</v>
      </c>
      <c r="D69" t="inlineStr">
        <is>
          <t>VÄRMLANDS LÄN</t>
        </is>
      </c>
      <c r="E69" t="inlineStr">
        <is>
          <t>GRUMS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4400-2020</t>
        </is>
      </c>
      <c r="B70" s="1" t="n">
        <v>43858</v>
      </c>
      <c r="C70" s="1" t="n">
        <v>45843</v>
      </c>
      <c r="D70" t="inlineStr">
        <is>
          <t>VÄRMLANDS LÄN</t>
        </is>
      </c>
      <c r="E70" t="inlineStr">
        <is>
          <t>GRUMS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4841-2020</t>
        </is>
      </c>
      <c r="B71" s="1" t="n">
        <v>43859</v>
      </c>
      <c r="C71" s="1" t="n">
        <v>45843</v>
      </c>
      <c r="D71" t="inlineStr">
        <is>
          <t>VÄRMLANDS LÄN</t>
        </is>
      </c>
      <c r="E71" t="inlineStr">
        <is>
          <t>GRUMS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6129-2020</t>
        </is>
      </c>
      <c r="B72" s="1" t="n">
        <v>43864</v>
      </c>
      <c r="C72" s="1" t="n">
        <v>45843</v>
      </c>
      <c r="D72" t="inlineStr">
        <is>
          <t>VÄRMLANDS LÄN</t>
        </is>
      </c>
      <c r="E72" t="inlineStr">
        <is>
          <t>GRUMS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6125-2020</t>
        </is>
      </c>
      <c r="B73" s="1" t="n">
        <v>43864</v>
      </c>
      <c r="C73" s="1" t="n">
        <v>45843</v>
      </c>
      <c r="D73" t="inlineStr">
        <is>
          <t>VÄRMLANDS LÄN</t>
        </is>
      </c>
      <c r="E73" t="inlineStr">
        <is>
          <t>GRUMS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6410-2020</t>
        </is>
      </c>
      <c r="B74" s="1" t="n">
        <v>43864</v>
      </c>
      <c r="C74" s="1" t="n">
        <v>45843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7904-2020</t>
        </is>
      </c>
      <c r="B75" s="1" t="n">
        <v>43873</v>
      </c>
      <c r="C75" s="1" t="n">
        <v>45843</v>
      </c>
      <c r="D75" t="inlineStr">
        <is>
          <t>VÄRMLANDS LÄN</t>
        </is>
      </c>
      <c r="E75" t="inlineStr">
        <is>
          <t>GRUMS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12152-2020</t>
        </is>
      </c>
      <c r="B76" s="1" t="n">
        <v>43891</v>
      </c>
      <c r="C76" s="1" t="n">
        <v>45843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11142-2020</t>
        </is>
      </c>
      <c r="B77" s="1" t="n">
        <v>43891</v>
      </c>
      <c r="C77" s="1" t="n">
        <v>45843</v>
      </c>
      <c r="D77" t="inlineStr">
        <is>
          <t>VÄRMLANDS LÄN</t>
        </is>
      </c>
      <c r="E77" t="inlineStr">
        <is>
          <t>GRUMS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12149-2020</t>
        </is>
      </c>
      <c r="B78" s="1" t="n">
        <v>43891</v>
      </c>
      <c r="C78" s="1" t="n">
        <v>45843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11141-2020</t>
        </is>
      </c>
      <c r="B79" s="1" t="n">
        <v>43891</v>
      </c>
      <c r="C79" s="1" t="n">
        <v>45843</v>
      </c>
      <c r="D79" t="inlineStr">
        <is>
          <t>VÄRMLANDS LÄN</t>
        </is>
      </c>
      <c r="E79" t="inlineStr">
        <is>
          <t>GRUMS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11580-2020</t>
        </is>
      </c>
      <c r="B80" s="1" t="n">
        <v>43893</v>
      </c>
      <c r="C80" s="1" t="n">
        <v>45843</v>
      </c>
      <c r="D80" t="inlineStr">
        <is>
          <t>VÄRMLANDS LÄN</t>
        </is>
      </c>
      <c r="E80" t="inlineStr">
        <is>
          <t>GRUMS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45843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45843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45843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45843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45843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45843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45843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45843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45843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45843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45843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45843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45843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45843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45843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45843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45843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45843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45843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45843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45843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45843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45843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45843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45843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45843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45843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45843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45843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45843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45843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45843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45843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45843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45843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45843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45843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45843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45843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45843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45843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45843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45843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45843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45843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45843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45843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45843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45843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45843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45843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45843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45843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45843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45843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45843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45843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45843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45843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45843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45843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45843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45843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45843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45843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45843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45843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45843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45843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45843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45843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45843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45843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45843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45843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45843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45843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45843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45843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45843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45843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45843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45843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45843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45843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45843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45843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45843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45843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45843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45843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45843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45843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45843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45843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45843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45843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45843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45843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45843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45843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45843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45843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45843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45843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45843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45843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45843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45843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45843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45843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45843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45843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45843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45843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45843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45843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45843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45843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45843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45843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45843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45843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45843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45843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45843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45843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45843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45843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45843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45843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45843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45843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45843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45843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45843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45843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45843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45843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45843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45843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45843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45843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45843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45843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45843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45843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45843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45843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45843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45843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45843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45843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45843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45843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45843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45843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45843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45843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45843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45843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45843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45843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45843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45843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45843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45843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45843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45843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45843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45843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45843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45843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45843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45843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45843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45843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45843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45843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45843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45843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45843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45843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45843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45843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45843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45843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45843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45843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45843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45843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45843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45843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45843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45843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45843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45843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45843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45843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45843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45843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45843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45843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45843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45843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45843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45843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45843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45843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45843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45843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45843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45843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45843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45843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45843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45843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45843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45843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45843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45843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45843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45843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45843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45843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45843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45843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45843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45843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45843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45843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45843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45843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45843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45843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45843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45843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45843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45843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45843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45843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45843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45843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45843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45843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45843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45843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45843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45843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45843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45843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45843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45843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45843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45843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45843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45843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45843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45843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45843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45843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45843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45843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45843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45843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45843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45843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45843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45843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45843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45843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45843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45843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45843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45843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45843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45843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45843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45843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45843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45843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45843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45843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45843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45843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45843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45843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45843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45843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45843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45843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45843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45843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45843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45843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45843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45843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45843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45843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45843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45843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45843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45843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45843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45843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45843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45843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45843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45843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45843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45843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45843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45843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45843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45843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45843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45843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45843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45843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45843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45843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45843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45843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45843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45843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45843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45843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45843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45843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45843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45843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45843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45843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45843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45843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45843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45843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45843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45843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45843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45843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45843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45843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45843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45843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45843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45843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45843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45843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45843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45843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45843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45843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45843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45843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45843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45843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45843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45843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45843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45843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45843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45843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45843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45843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45843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45843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45843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45843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45843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45843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45843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45843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45843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45843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45843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45843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45843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45843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45843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45843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45843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45843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45843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45843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45843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45843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45843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45843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45843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45843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45843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45843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45843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45843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45843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45843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45843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45843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45843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45843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45843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45843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45843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45843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45843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45843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45843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45843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45843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45843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45843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45843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45843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45843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45843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45843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45843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45843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45843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45843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45843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45843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45843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45843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45843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45843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45843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45843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45843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45843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45843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45843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45843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45843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45843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45843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45843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45843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45843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45843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45843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45843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45843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45843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45843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45843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45843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45843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45843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45843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45843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30411-2025</t>
        </is>
      </c>
      <c r="B533" s="1" t="n">
        <v>45827</v>
      </c>
      <c r="C533" s="1" t="n">
        <v>45843</v>
      </c>
      <c r="D533" t="inlineStr">
        <is>
          <t>VÄRMLANDS LÄN</t>
        </is>
      </c>
      <c r="E533" t="inlineStr">
        <is>
          <t>GRUMS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30403-2025</t>
        </is>
      </c>
      <c r="B534" s="1" t="n">
        <v>45827</v>
      </c>
      <c r="C534" s="1" t="n">
        <v>45843</v>
      </c>
      <c r="D534" t="inlineStr">
        <is>
          <t>VÄRMLANDS LÄN</t>
        </is>
      </c>
      <c r="E534" t="inlineStr">
        <is>
          <t>GRUMS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45843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45843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45843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45843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2025-07-05T19:58:02Z</dcterms:created>
  <dcterms:modified xmlns:dcterms="http://purl.org/dc/terms/" xmlns:xsi="http://www.w3.org/2001/XMLSchema-instance" xsi:type="dcterms:W3CDTF">2025-07-05T19:58:02Z</dcterms:modified>
</cp:coreProperties>
</file>