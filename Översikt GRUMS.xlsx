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46250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46250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46250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46250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46250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S 755-2023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44981</v>
      </c>
      <c r="E9" s="1" t="n">
        <v>46250</v>
      </c>
      <c r="F9" t="inlineStr">
        <is>
          <t>VÄRMLANDS LÄN</t>
        </is>
      </c>
      <c r="G9" t="inlineStr">
        <is>
          <t>GRUMS</t>
        </is>
      </c>
      <c r="H9" t="inlineStr">
        <is>
          <t>Bergvik skog väst AB</t>
        </is>
      </c>
      <c r="I9" t="n">
        <v>79.3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Motaggsvamp
Mattlummer</t>
        </is>
      </c>
      <c r="W9">
        <f>HYPERLINK("https://klasma.github.io/Logging_1764/artfynd/S 755-2023 artfynd.xlsx", "S 755-2023")</f>
        <v/>
      </c>
      <c r="X9">
        <f>HYPERLINK("https://klasma.github.io/Logging_1764/kartor/S 755-2023 karta.png", "S 755-2023")</f>
        <v/>
      </c>
      <c r="Y9">
        <f>HYPERLINK("https://klasma.github.io/Logging_1764/kartor_geotiff/S 755-2023 georefererad karta.tif", "S 755-2023")</f>
        <v/>
      </c>
      <c r="Z9">
        <f>HYPERLINK("https://klasma.github.io/Logging_1764/knärot/S 755-2023 karta knärot.png", "S 755-2023")</f>
        <v/>
      </c>
      <c r="AA9">
        <f>HYPERLINK("https://klasma.github.io/Logging_1764/klagomål/S 755-2023 FSC-klagomål.docx", "S 755-2023")</f>
        <v/>
      </c>
      <c r="AB9">
        <f>HYPERLINK("https://klasma.github.io/Logging_1764/klagomålsmail/S 755-2023 FSC-klagomål mail.docx", "S 755-2023")</f>
        <v/>
      </c>
      <c r="AC9">
        <f>HYPERLINK("https://klasma.github.io/Logging_1764/tillsyn/S 755-2023 tillsynsbegäran.docx", "S 755-2023")</f>
        <v/>
      </c>
      <c r="AD9">
        <f>HYPERLINK("https://klasma.github.io/Logging_1764/tillsynsmail/S 755-2023 tillsynsbegäran mail.docx", "S 755-2023")</f>
        <v/>
      </c>
    </row>
    <row r="10" ht="15" customHeight="1">
      <c r="A10" t="inlineStr">
        <is>
          <t>S 2217-2023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45099</v>
      </c>
      <c r="E10" s="1" t="n">
        <v>46250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39.1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Plattlummer
Tjäder
Lopplummer (aggregat)</t>
        </is>
      </c>
      <c r="W10">
        <f>HYPERLINK("https://klasma.github.io/Logging_1764/artfynd/S 2217-2023 artfynd.xlsx", "S 2217-2023")</f>
        <v/>
      </c>
      <c r="X10">
        <f>HYPERLINK("https://klasma.github.io/Logging_1764/kartor/S 2217-2023 karta.png", "S 2217-2023")</f>
        <v/>
      </c>
      <c r="Y10">
        <f>HYPERLINK("https://klasma.github.io/Logging_1764/kartor_geotiff/S 2217-2023 georefererad karta.tif", "S 2217-2023")</f>
        <v/>
      </c>
      <c r="AA10">
        <f>HYPERLINK("https://klasma.github.io/Logging_1764/klagomål/S 2217-2023 FSC-klagomål.docx", "S 2217-2023")</f>
        <v/>
      </c>
      <c r="AB10">
        <f>HYPERLINK("https://klasma.github.io/Logging_1764/klagomålsmail/S 2217-2023 FSC-klagomål mail.docx", "S 2217-2023")</f>
        <v/>
      </c>
      <c r="AC10">
        <f>HYPERLINK("https://klasma.github.io/Logging_1764/tillsyn/S 2217-2023 tillsynsbegäran.docx", "S 2217-2023")</f>
        <v/>
      </c>
      <c r="AD10">
        <f>HYPERLINK("https://klasma.github.io/Logging_1764/tillsynsmail/S 2217-2023 tillsynsbegäran mail.docx", "S 2217-2023")</f>
        <v/>
      </c>
      <c r="AE10">
        <f>HYPERLINK("https://klasma.github.io/Logging_1764/fåglar/S 2217-2023 prioriterade fågelarter.docx", "S 2217-2023")</f>
        <v/>
      </c>
    </row>
    <row r="11" ht="15" customHeight="1">
      <c r="A11" t="inlineStr">
        <is>
          <t>A 41113-2025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46250</v>
      </c>
      <c r="F11" t="inlineStr">
        <is>
          <t>VÄRMLANDS LÄN</t>
        </is>
      </c>
      <c r="G11" t="inlineStr">
        <is>
          <t>GRUMS</t>
        </is>
      </c>
      <c r="I11" t="n">
        <v>4.2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Violmussling
Tofsmes</t>
        </is>
      </c>
      <c r="W11">
        <f>HYPERLINK("https://klasma.github.io/Logging_1764/artfynd/A 41113-2025 artfynd.xlsx", "A 41113-2025")</f>
        <v/>
      </c>
      <c r="X11">
        <f>HYPERLINK("https://klasma.github.io/Logging_1764/kartor/A 41113-2025 karta.png", "A 41113-2025")</f>
        <v/>
      </c>
      <c r="Y11">
        <f>HYPERLINK("https://klasma.github.io/Logging_1764/kartor_geotiff/A 41113-2025 georefererad karta.tif", "A 41113-2025")</f>
        <v/>
      </c>
      <c r="AA11">
        <f>HYPERLINK("https://klasma.github.io/Logging_1764/klagomål/A 41113-2025 FSC-klagomål.docx", "A 41113-2025")</f>
        <v/>
      </c>
      <c r="AB11">
        <f>HYPERLINK("https://klasma.github.io/Logging_1764/klagomålsmail/A 41113-2025 FSC-klagomål mail.docx", "A 41113-2025")</f>
        <v/>
      </c>
      <c r="AC11">
        <f>HYPERLINK("https://klasma.github.io/Logging_1764/tillsyn/A 41113-2025 tillsynsbegäran.docx", "A 41113-2025")</f>
        <v/>
      </c>
      <c r="AD11">
        <f>HYPERLINK("https://klasma.github.io/Logging_1764/tillsynsmail/A 41113-2025 tillsynsbegäran mail.docx", "A 41113-2025")</f>
        <v/>
      </c>
    </row>
    <row r="12" ht="15" customHeight="1">
      <c r="A12" t="inlineStr">
        <is>
          <t>A 5280-2022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44593</v>
      </c>
      <c r="E12" s="1" t="n">
        <v>46250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37.1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1</v>
      </c>
      <c r="V12" s="2" t="inlineStr">
        <is>
          <t>Ask
Tjäder</t>
        </is>
      </c>
      <c r="W12">
        <f>HYPERLINK("https://klasma.github.io/Logging_1764/artfynd/A 5280-2022 artfynd.xlsx", "A 5280-2022")</f>
        <v/>
      </c>
      <c r="X12">
        <f>HYPERLINK("https://klasma.github.io/Logging_1764/kartor/A 5280-2022 karta.png", "A 5280-2022")</f>
        <v/>
      </c>
      <c r="Y12">
        <f>HYPERLINK("https://klasma.github.io/Logging_1764/kartor_geotiff/A 5280-2022 georefererad karta.tif", "A 5280-2022")</f>
        <v/>
      </c>
      <c r="AA12">
        <f>HYPERLINK("https://klasma.github.io/Logging_1764/klagomål/A 5280-2022 FSC-klagomål.docx", "A 5280-2022")</f>
        <v/>
      </c>
      <c r="AB12">
        <f>HYPERLINK("https://klasma.github.io/Logging_1764/klagomålsmail/A 5280-2022 FSC-klagomål mail.docx", "A 5280-2022")</f>
        <v/>
      </c>
      <c r="AC12">
        <f>HYPERLINK("https://klasma.github.io/Logging_1764/tillsyn/A 5280-2022 tillsynsbegäran.docx", "A 5280-2022")</f>
        <v/>
      </c>
      <c r="AD12">
        <f>HYPERLINK("https://klasma.github.io/Logging_1764/tillsynsmail/A 5280-2022 tillsynsbegäran mail.docx", "A 5280-2022")</f>
        <v/>
      </c>
      <c r="AE12">
        <f>HYPERLINK("https://klasma.github.io/Logging_1764/fåglar/A 5280-2022 prioriterade fågelarter.docx", "A 5280-2022")</f>
        <v/>
      </c>
    </row>
    <row r="13" ht="15" customHeight="1">
      <c r="A13" t="inlineStr">
        <is>
          <t>A 54042-2021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46250</v>
      </c>
      <c r="F13" t="inlineStr">
        <is>
          <t>VÄRMLANDS LÄN</t>
        </is>
      </c>
      <c r="G13" t="inlineStr">
        <is>
          <t>GRUMS</t>
        </is>
      </c>
      <c r="I13" t="n">
        <v>7.8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Spillkråka
Fläcknycklar</t>
        </is>
      </c>
      <c r="W13">
        <f>HYPERLINK("https://klasma.github.io/Logging_1764/artfynd/A 54042-2021 artfynd.xlsx", "A 54042-2021")</f>
        <v/>
      </c>
      <c r="X13">
        <f>HYPERLINK("https://klasma.github.io/Logging_1764/kartor/A 54042-2021 karta.png", "A 54042-2021")</f>
        <v/>
      </c>
      <c r="Y13">
        <f>HYPERLINK("https://klasma.github.io/Logging_1764/kartor_geotiff/A 54042-2021 georefererad karta.tif", "A 54042-2021")</f>
        <v/>
      </c>
      <c r="AA13">
        <f>HYPERLINK("https://klasma.github.io/Logging_1764/klagomål/A 54042-2021 FSC-klagomål.docx", "A 54042-2021")</f>
        <v/>
      </c>
      <c r="AB13">
        <f>HYPERLINK("https://klasma.github.io/Logging_1764/klagomålsmail/A 54042-2021 FSC-klagomål mail.docx", "A 54042-2021")</f>
        <v/>
      </c>
      <c r="AC13">
        <f>HYPERLINK("https://klasma.github.io/Logging_1764/tillsyn/A 54042-2021 tillsynsbegäran.docx", "A 54042-2021")</f>
        <v/>
      </c>
      <c r="AD13">
        <f>HYPERLINK("https://klasma.github.io/Logging_1764/tillsynsmail/A 54042-2021 tillsynsbegäran mail.docx", "A 54042-2021")</f>
        <v/>
      </c>
      <c r="AE13">
        <f>HYPERLINK("https://klasma.github.io/Logging_1764/fåglar/A 54042-2021 prioriterade fågelarter.docx", "A 54042-2021")</f>
        <v/>
      </c>
    </row>
    <row r="14" ht="15" customHeight="1">
      <c r="A14" t="inlineStr">
        <is>
          <t>A 56386-2022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44890</v>
      </c>
      <c r="E14" s="1" t="n">
        <v>46250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Vågfibbla
Rönnfibbla</t>
        </is>
      </c>
      <c r="W14">
        <f>HYPERLINK("https://klasma.github.io/Logging_1764/artfynd/A 56386-2022 artfynd.xlsx", "A 56386-2022")</f>
        <v/>
      </c>
      <c r="X14">
        <f>HYPERLINK("https://klasma.github.io/Logging_1764/kartor/A 56386-2022 karta.png", "A 56386-2022")</f>
        <v/>
      </c>
      <c r="Y14">
        <f>HYPERLINK("https://klasma.github.io/Logging_1764/kartor_geotiff/A 56386-2022 georefererad karta.tif", "A 56386-2022")</f>
        <v/>
      </c>
      <c r="AA14">
        <f>HYPERLINK("https://klasma.github.io/Logging_1764/klagomål/A 56386-2022 FSC-klagomål.docx", "A 56386-2022")</f>
        <v/>
      </c>
      <c r="AB14">
        <f>HYPERLINK("https://klasma.github.io/Logging_1764/klagomålsmail/A 56386-2022 FSC-klagomål mail.docx", "A 56386-2022")</f>
        <v/>
      </c>
      <c r="AC14">
        <f>HYPERLINK("https://klasma.github.io/Logging_1764/tillsyn/A 56386-2022 tillsynsbegäran.docx", "A 56386-2022")</f>
        <v/>
      </c>
      <c r="AD14">
        <f>HYPERLINK("https://klasma.github.io/Logging_1764/tillsynsmail/A 56386-2022 tillsynsbegäran mail.docx", "A 56386-2022")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46250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7931-2025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45706</v>
      </c>
      <c r="E16" s="1" t="n">
        <v>46250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13.8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Blåsippa
Skogsödla</t>
        </is>
      </c>
      <c r="W16">
        <f>HYPERLINK("https://klasma.github.io/Logging_1764/artfynd/A 7931-2025 artfynd.xlsx", "A 7931-2025")</f>
        <v/>
      </c>
      <c r="X16">
        <f>HYPERLINK("https://klasma.github.io/Logging_1764/kartor/A 7931-2025 karta.png", "A 7931-2025")</f>
        <v/>
      </c>
      <c r="Y16">
        <f>HYPERLINK("https://klasma.github.io/Logging_1764/kartor_geotiff/A 7931-2025 georefererad karta.tif", "A 7931-2025")</f>
        <v/>
      </c>
      <c r="AA16">
        <f>HYPERLINK("https://klasma.github.io/Logging_1764/klagomål/A 7931-2025 FSC-klagomål.docx", "A 7931-2025")</f>
        <v/>
      </c>
      <c r="AB16">
        <f>HYPERLINK("https://klasma.github.io/Logging_1764/klagomålsmail/A 7931-2025 FSC-klagomål mail.docx", "A 7931-2025")</f>
        <v/>
      </c>
      <c r="AC16">
        <f>HYPERLINK("https://klasma.github.io/Logging_1764/tillsyn/A 7931-2025 tillsynsbegäran.docx", "A 7931-2025")</f>
        <v/>
      </c>
      <c r="AD16">
        <f>HYPERLINK("https://klasma.github.io/Logging_1764/tillsynsmail/A 7931-2025 tillsynsbegäran mail.docx", "A 7931-2025")</f>
        <v/>
      </c>
    </row>
    <row r="17" ht="15" customHeight="1">
      <c r="A17" t="inlineStr">
        <is>
          <t>A 23860-2023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46250</v>
      </c>
      <c r="F17" t="inlineStr">
        <is>
          <t>VÄRMLANDS LÄN</t>
        </is>
      </c>
      <c r="G17" t="inlineStr">
        <is>
          <t>GRUMS</t>
        </is>
      </c>
      <c r="I17" t="n">
        <v>3.5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Gullpudra
Gulsparv</t>
        </is>
      </c>
      <c r="W17">
        <f>HYPERLINK("https://klasma.github.io/Logging_1764/artfynd/A 23860-2023 artfynd.xlsx", "A 23860-2023")</f>
        <v/>
      </c>
      <c r="X17">
        <f>HYPERLINK("https://klasma.github.io/Logging_1764/kartor/A 23860-2023 karta.png", "A 23860-2023")</f>
        <v/>
      </c>
      <c r="Y17">
        <f>HYPERLINK("https://klasma.github.io/Logging_1764/kartor_geotiff/A 23860-2023 georefererad karta.tif", "A 23860-2023")</f>
        <v/>
      </c>
      <c r="AA17">
        <f>HYPERLINK("https://klasma.github.io/Logging_1764/klagomål/A 23860-2023 FSC-klagomål.docx", "A 23860-2023")</f>
        <v/>
      </c>
      <c r="AB17">
        <f>HYPERLINK("https://klasma.github.io/Logging_1764/klagomålsmail/A 23860-2023 FSC-klagomål mail.docx", "A 23860-2023")</f>
        <v/>
      </c>
      <c r="AC17">
        <f>HYPERLINK("https://klasma.github.io/Logging_1764/tillsyn/A 23860-2023 tillsynsbegäran.docx", "A 23860-2023")</f>
        <v/>
      </c>
      <c r="AD17">
        <f>HYPERLINK("https://klasma.github.io/Logging_1764/tillsynsmail/A 23860-2023 tillsynsbegäran mail.docx", "A 23860-2023")</f>
        <v/>
      </c>
      <c r="AE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46250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Björksplintborre
Bronshjon</t>
        </is>
      </c>
      <c r="W18">
        <f>HYPERLINK("https://klasma.github.io/Logging_1764/artfynd/A 66053-2021 artfynd.xlsx", "A 66053-2021")</f>
        <v/>
      </c>
      <c r="X18">
        <f>HYPERLINK("https://klasma.github.io/Logging_1764/kartor/A 66053-2021 karta.png", "A 66053-2021")</f>
        <v/>
      </c>
      <c r="Y18">
        <f>HYPERLINK("https://klasma.github.io/Logging_1764/kartor_geotiff/A 66053-2021 georefererad karta.tif", "A 66053-2021")</f>
        <v/>
      </c>
      <c r="AA18">
        <f>HYPERLINK("https://klasma.github.io/Logging_1764/klagomål/A 66053-2021 FSC-klagomål.docx", "A 66053-2021")</f>
        <v/>
      </c>
      <c r="AB18">
        <f>HYPERLINK("https://klasma.github.io/Logging_1764/klagomålsmail/A 66053-2021 FSC-klagomål mail.docx", "A 66053-2021")</f>
        <v/>
      </c>
      <c r="AC18">
        <f>HYPERLINK("https://klasma.github.io/Logging_1764/tillsyn/A 66053-2021 tillsynsbegäran.docx", "A 66053-2021")</f>
        <v/>
      </c>
      <c r="AD18">
        <f>HYPERLINK("https://klasma.github.io/Logging_1764/tillsynsmail/A 66053-2021 tillsynsbegäran mail.docx", "A 66053-2021")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46250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46250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46250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46250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46250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46250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46250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8363-2025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45708</v>
      </c>
      <c r="E26" s="1" t="n">
        <v>46250</v>
      </c>
      <c r="F26" t="inlineStr">
        <is>
          <t>VÄRMLANDS LÄN</t>
        </is>
      </c>
      <c r="G26" t="inlineStr">
        <is>
          <t>GRUMS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Mandelriska</t>
        </is>
      </c>
      <c r="W26">
        <f>HYPERLINK("https://klasma.github.io/Logging_1764/artfynd/A 8363-2025 artfynd.xlsx", "A 8363-2025")</f>
        <v/>
      </c>
      <c r="X26">
        <f>HYPERLINK("https://klasma.github.io/Logging_1764/kartor/A 8363-2025 karta.png", "A 8363-2025")</f>
        <v/>
      </c>
      <c r="Y26">
        <f>HYPERLINK("https://klasma.github.io/Logging_1764/kartor_geotiff/A 8363-2025 georefererad karta.tif", "A 8363-2025")</f>
        <v/>
      </c>
      <c r="AA26">
        <f>HYPERLINK("https://klasma.github.io/Logging_1764/klagomål/A 8363-2025 FSC-klagomål.docx", "A 8363-2025")</f>
        <v/>
      </c>
      <c r="AB26">
        <f>HYPERLINK("https://klasma.github.io/Logging_1764/klagomålsmail/A 8363-2025 FSC-klagomål mail.docx", "A 8363-2025")</f>
        <v/>
      </c>
      <c r="AC26">
        <f>HYPERLINK("https://klasma.github.io/Logging_1764/tillsyn/A 8363-2025 tillsynsbegäran.docx", "A 8363-2025")</f>
        <v/>
      </c>
      <c r="AD26">
        <f>HYPERLINK("https://klasma.github.io/Logging_1764/tillsynsmail/A 8363-2025 tillsynsbegäran mail.docx", "A 8363-2025")</f>
        <v/>
      </c>
    </row>
    <row r="27" ht="15" customHeight="1">
      <c r="A27" t="inlineStr">
        <is>
          <t>A 37339-2022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46250</v>
      </c>
      <c r="F27" t="inlineStr">
        <is>
          <t>VÄRMLANDS LÄN</t>
        </is>
      </c>
      <c r="G27" t="inlineStr">
        <is>
          <t>GRUMS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37339-2022 artfynd.xlsx", "A 37339-2022")</f>
        <v/>
      </c>
      <c r="X27">
        <f>HYPERLINK("https://klasma.github.io/Logging_1764/kartor/A 37339-2022 karta.png", "A 37339-2022")</f>
        <v/>
      </c>
      <c r="Y27">
        <f>HYPERLINK("https://klasma.github.io/Logging_1764/kartor_geotiff/A 37339-2022 georefererad karta.tif", "A 37339-2022")</f>
        <v/>
      </c>
      <c r="AA27">
        <f>HYPERLINK("https://klasma.github.io/Logging_1764/klagomål/A 37339-2022 FSC-klagomål.docx", "A 37339-2022")</f>
        <v/>
      </c>
      <c r="AB27">
        <f>HYPERLINK("https://klasma.github.io/Logging_1764/klagomålsmail/A 37339-2022 FSC-klagomål mail.docx", "A 37339-2022")</f>
        <v/>
      </c>
      <c r="AC27">
        <f>HYPERLINK("https://klasma.github.io/Logging_1764/tillsyn/A 37339-2022 tillsynsbegäran.docx", "A 37339-2022")</f>
        <v/>
      </c>
      <c r="AD27">
        <f>HYPERLINK("https://klasma.github.io/Logging_1764/tillsynsmail/A 37339-2022 tillsynsbegäran mail.docx", "A 37339-2022")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46250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12296-2026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46250</v>
      </c>
      <c r="F29" t="inlineStr">
        <is>
          <t>VÄRMLANDS LÄN</t>
        </is>
      </c>
      <c r="G29" t="inlineStr">
        <is>
          <t>GRUMS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12296-2026 artfynd.xlsx", "A 12296-2026")</f>
        <v/>
      </c>
      <c r="X29">
        <f>HYPERLINK("https://klasma.github.io/Logging_1764/kartor/A 12296-2026 karta.png", "A 12296-2026")</f>
        <v/>
      </c>
      <c r="Y29">
        <f>HYPERLINK("https://klasma.github.io/Logging_1764/kartor_geotiff/A 12296-2026 georefererad karta.tif", "A 12296-2026")</f>
        <v/>
      </c>
      <c r="AA29">
        <f>HYPERLINK("https://klasma.github.io/Logging_1764/klagomål/A 12296-2026 FSC-klagomål.docx", "A 12296-2026")</f>
        <v/>
      </c>
      <c r="AB29">
        <f>HYPERLINK("https://klasma.github.io/Logging_1764/klagomålsmail/A 12296-2026 FSC-klagomål mail.docx", "A 12296-2026")</f>
        <v/>
      </c>
      <c r="AC29">
        <f>HYPERLINK("https://klasma.github.io/Logging_1764/tillsyn/A 12296-2026 tillsynsbegäran.docx", "A 12296-2026")</f>
        <v/>
      </c>
      <c r="AD29">
        <f>HYPERLINK("https://klasma.github.io/Logging_1764/tillsynsmail/A 12296-2026 tillsynsbegäran mail.docx", "A 12296-2026")</f>
        <v/>
      </c>
    </row>
    <row r="30" ht="15" customHeight="1">
      <c r="A30" t="inlineStr">
        <is>
          <t>A 41878-2024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46250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Göktyta</t>
        </is>
      </c>
      <c r="W30">
        <f>HYPERLINK("https://klasma.github.io/Logging_1764/artfynd/A 41878-2024 artfynd.xlsx", "A 41878-2024")</f>
        <v/>
      </c>
      <c r="X30">
        <f>HYPERLINK("https://klasma.github.io/Logging_1764/kartor/A 41878-2024 karta.png", "A 41878-2024")</f>
        <v/>
      </c>
      <c r="Y30">
        <f>HYPERLINK("https://klasma.github.io/Logging_1764/kartor_geotiff/A 41878-2024 georefererad karta.tif", "A 41878-2024")</f>
        <v/>
      </c>
      <c r="AA30">
        <f>HYPERLINK("https://klasma.github.io/Logging_1764/klagomål/A 41878-2024 FSC-klagomål.docx", "A 41878-2024")</f>
        <v/>
      </c>
      <c r="AB30">
        <f>HYPERLINK("https://klasma.github.io/Logging_1764/klagomålsmail/A 41878-2024 FSC-klagomål mail.docx", "A 41878-2024")</f>
        <v/>
      </c>
      <c r="AC30">
        <f>HYPERLINK("https://klasma.github.io/Logging_1764/tillsyn/A 41878-2024 tillsynsbegäran.docx", "A 41878-2024")</f>
        <v/>
      </c>
      <c r="AD30">
        <f>HYPERLINK("https://klasma.github.io/Logging_1764/tillsynsmail/A 41878-2024 tillsynsbegäran mail.docx", "A 41878-2024")</f>
        <v/>
      </c>
      <c r="AE30">
        <f>HYPERLINK("https://klasma.github.io/Logging_1764/fåglar/A 41878-2024 prioriterade fågelarter.docx", "A 41878-2024")</f>
        <v/>
      </c>
    </row>
    <row r="31" ht="15" customHeight="1">
      <c r="A31" t="inlineStr">
        <is>
          <t>A 35077-2024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46250</v>
      </c>
      <c r="F31" t="inlineStr">
        <is>
          <t>VÄRMLANDS LÄN</t>
        </is>
      </c>
      <c r="G31" t="inlineStr">
        <is>
          <t>GRUMS</t>
        </is>
      </c>
      <c r="I31" t="n">
        <v>2.1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HYPERLINK("https://klasma.github.io/Logging_1764/artfynd/A 35077-2024 artfynd.xlsx", "A 35077-2024")</f>
        <v/>
      </c>
      <c r="X31">
        <f>HYPERLINK("https://klasma.github.io/Logging_1764/kartor/A 35077-2024 karta.png", "A 35077-2024")</f>
        <v/>
      </c>
      <c r="Y31">
        <f>HYPERLINK("https://klasma.github.io/Logging_1764/kartor_geotiff/A 35077-2024 georefererad karta.tif", "A 35077-2024")</f>
        <v/>
      </c>
      <c r="Z31">
        <f>HYPERLINK("https://klasma.github.io/Logging_1764/knärot/A 35077-2024 karta knärot.png", "A 35077-2024")</f>
        <v/>
      </c>
      <c r="AA31">
        <f>HYPERLINK("https://klasma.github.io/Logging_1764/klagomål/A 35077-2024 FSC-klagomål.docx", "A 35077-2024")</f>
        <v/>
      </c>
      <c r="AB31">
        <f>HYPERLINK("https://klasma.github.io/Logging_1764/klagomålsmail/A 35077-2024 FSC-klagomål mail.docx", "A 35077-2024")</f>
        <v/>
      </c>
      <c r="AC31">
        <f>HYPERLINK("https://klasma.github.io/Logging_1764/tillsyn/A 35077-2024 tillsynsbegäran.docx", "A 35077-2024")</f>
        <v/>
      </c>
      <c r="AD31">
        <f>HYPERLINK("https://klasma.github.io/Logging_1764/tillsynsmail/A 35077-2024 tillsynsbegäran mail.docx", "A 35077-2024")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46250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19524-2024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46250</v>
      </c>
      <c r="F33" t="inlineStr">
        <is>
          <t>VÄRMLANDS LÄN</t>
        </is>
      </c>
      <c r="G33" t="inlineStr">
        <is>
          <t>GRUMS</t>
        </is>
      </c>
      <c r="I33" t="n">
        <v>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Sädesärla</t>
        </is>
      </c>
      <c r="W33">
        <f>HYPERLINK("https://klasma.github.io/Logging_1764/artfynd/A 19524-2024 artfynd.xlsx", "A 19524-2024")</f>
        <v/>
      </c>
      <c r="X33">
        <f>HYPERLINK("https://klasma.github.io/Logging_1764/kartor/A 19524-2024 karta.png", "A 19524-2024")</f>
        <v/>
      </c>
      <c r="Y33">
        <f>HYPERLINK("https://klasma.github.io/Logging_1764/kartor_geotiff/A 19524-2024 georefererad karta.tif", "A 19524-2024")</f>
        <v/>
      </c>
      <c r="AA33">
        <f>HYPERLINK("https://klasma.github.io/Logging_1764/klagomål/A 19524-2024 FSC-klagomål.docx", "A 19524-2024")</f>
        <v/>
      </c>
      <c r="AB33">
        <f>HYPERLINK("https://klasma.github.io/Logging_1764/klagomålsmail/A 19524-2024 FSC-klagomål mail.docx", "A 19524-2024")</f>
        <v/>
      </c>
      <c r="AC33">
        <f>HYPERLINK("https://klasma.github.io/Logging_1764/tillsyn/A 19524-2024 tillsynsbegäran.docx", "A 19524-2024")</f>
        <v/>
      </c>
      <c r="AD33">
        <f>HYPERLINK("https://klasma.github.io/Logging_1764/tillsynsmail/A 19524-2024 tillsynsbegäran mail.docx", "A 19524-2024")</f>
        <v/>
      </c>
      <c r="AE33">
        <f>HYPERLINK("https://klasma.github.io/Logging_1764/fåglar/A 19524-2024 prioriterade fågelarter.docx", "A 19524-2024")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46250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46250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46250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46250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46250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S 7995-2021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44484</v>
      </c>
      <c r="E39" s="1" t="n">
        <v>46250</v>
      </c>
      <c r="F39" t="inlineStr">
        <is>
          <t>VÄRMLANDS LÄN</t>
        </is>
      </c>
      <c r="G39" t="inlineStr">
        <is>
          <t>GRUMS</t>
        </is>
      </c>
      <c r="I39" t="n">
        <v>303.8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HYPERLINK("https://klasma.github.io/Logging_1764/artfynd/S 7995-2021 artfynd.xlsx", "S 7995-2021")</f>
        <v/>
      </c>
      <c r="X39">
        <f>HYPERLINK("https://klasma.github.io/Logging_1764/kartor/S 7995-2021 karta.png", "S 7995-2021")</f>
        <v/>
      </c>
      <c r="Y39">
        <f>HYPERLINK("https://klasma.github.io/Logging_1764/kartor_geotiff/S 7995-2021 georefererad karta.tif", "S 7995-2021")</f>
        <v/>
      </c>
      <c r="AA39">
        <f>HYPERLINK("https://klasma.github.io/Logging_1764/klagomål/S 7995-2021 FSC-klagomål.docx", "S 7995-2021")</f>
        <v/>
      </c>
      <c r="AB39">
        <f>HYPERLINK("https://klasma.github.io/Logging_1764/klagomålsmail/S 7995-2021 FSC-klagomål mail.docx", "S 7995-2021")</f>
        <v/>
      </c>
      <c r="AC39">
        <f>HYPERLINK("https://klasma.github.io/Logging_1764/tillsyn/S 7995-2021 tillsynsbegäran.docx", "S 7995-2021")</f>
        <v/>
      </c>
      <c r="AD39">
        <f>HYPERLINK("https://klasma.github.io/Logging_1764/tillsynsmail/S 7995-2021 tillsynsbegäran mail.docx", "S 7995-2021")</f>
        <v/>
      </c>
    </row>
    <row r="40" ht="15" customHeight="1">
      <c r="A40" t="inlineStr">
        <is>
          <t>A 45960-2021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46250</v>
      </c>
      <c r="F40" t="inlineStr">
        <is>
          <t>VÄRMLANDS LÄN</t>
        </is>
      </c>
      <c r="G40" t="inlineStr">
        <is>
          <t>GRUMS</t>
        </is>
      </c>
      <c r="I40" t="n">
        <v>13.6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46250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46250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32304-2022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46250</v>
      </c>
      <c r="F43" t="inlineStr">
        <is>
          <t>VÄRMLANDS LÄN</t>
        </is>
      </c>
      <c r="G43" t="inlineStr">
        <is>
          <t>GRUMS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46250</v>
      </c>
      <c r="F44" t="inlineStr">
        <is>
          <t>VÄRMLANDS LÄN</t>
        </is>
      </c>
      <c r="G44" t="inlineStr">
        <is>
          <t>GRUMS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46250</v>
      </c>
      <c r="F45" t="inlineStr">
        <is>
          <t>VÄRMLANDS LÄN</t>
        </is>
      </c>
      <c r="G45" t="inlineStr">
        <is>
          <t>GRUMS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46250</v>
      </c>
      <c r="F46" t="inlineStr">
        <is>
          <t>VÄRMLANDS LÄN</t>
        </is>
      </c>
      <c r="G46" t="inlineStr">
        <is>
          <t>GRUMS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46250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49116-2022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44860</v>
      </c>
      <c r="E48" s="1" t="n">
        <v>46250</v>
      </c>
      <c r="F48" t="inlineStr">
        <is>
          <t>VÄRMLANDS LÄN</t>
        </is>
      </c>
      <c r="G48" t="inlineStr">
        <is>
          <t>GRUMS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46250</v>
      </c>
      <c r="F49" t="inlineStr">
        <is>
          <t>VÄRMLANDS LÄN</t>
        </is>
      </c>
      <c r="G49" t="inlineStr">
        <is>
          <t>GRUMS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46250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46250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46250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46250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46250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46250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46250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46250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46250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46250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46250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46250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46250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46250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43960-2021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44434</v>
      </c>
      <c r="E64" s="1" t="n">
        <v>46250</v>
      </c>
      <c r="F64" t="inlineStr">
        <is>
          <t>VÄRMLANDS LÄN</t>
        </is>
      </c>
      <c r="G64" t="inlineStr">
        <is>
          <t>GRUMS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46250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46250</v>
      </c>
      <c r="F66" t="inlineStr">
        <is>
          <t>VÄRMLANDS LÄN</t>
        </is>
      </c>
      <c r="G66" t="inlineStr">
        <is>
          <t>GRUMS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46250</v>
      </c>
      <c r="F67" t="inlineStr">
        <is>
          <t>VÄRMLANDS LÄN</t>
        </is>
      </c>
      <c r="G67" t="inlineStr">
        <is>
          <t>GRUMS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46250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45434</v>
      </c>
      <c r="E69" s="1" t="n">
        <v>46250</v>
      </c>
      <c r="F69" t="inlineStr">
        <is>
          <t>VÄRMLANDS LÄN</t>
        </is>
      </c>
      <c r="G69" t="inlineStr">
        <is>
          <t>GRUMS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29724-2023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45107</v>
      </c>
      <c r="E70" s="1" t="n">
        <v>46250</v>
      </c>
      <c r="F70" t="inlineStr">
        <is>
          <t>VÄRMLANDS LÄN</t>
        </is>
      </c>
      <c r="G70" t="inlineStr">
        <is>
          <t>GRUMS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46250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46250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46250</v>
      </c>
      <c r="F73" t="inlineStr">
        <is>
          <t>VÄRMLANDS LÄN</t>
        </is>
      </c>
      <c r="G73" t="inlineStr">
        <is>
          <t>GRUMS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46250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45708</v>
      </c>
      <c r="E75" s="1" t="n">
        <v>46250</v>
      </c>
      <c r="F75" t="inlineStr">
        <is>
          <t>VÄRMLANDS LÄN</t>
        </is>
      </c>
      <c r="G75" t="inlineStr">
        <is>
          <t>GRUMS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59746-2021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46250</v>
      </c>
      <c r="F76" t="inlineStr">
        <is>
          <t>VÄRMLANDS LÄN</t>
        </is>
      </c>
      <c r="G76" t="inlineStr">
        <is>
          <t>GRUMS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46250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44577</v>
      </c>
      <c r="E78" s="1" t="n">
        <v>46250</v>
      </c>
      <c r="F78" t="inlineStr">
        <is>
          <t>VÄRMLANDS LÄN</t>
        </is>
      </c>
      <c r="G78" t="inlineStr">
        <is>
          <t>GRUMS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51203-2021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46250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46250</v>
      </c>
      <c r="F80" t="inlineStr">
        <is>
          <t>VÄRMLANDS LÄN</t>
        </is>
      </c>
      <c r="G80" t="inlineStr">
        <is>
          <t>GRUMS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46250</v>
      </c>
      <c r="F81" t="inlineStr">
        <is>
          <t>VÄRMLANDS LÄN</t>
        </is>
      </c>
      <c r="G81" t="inlineStr">
        <is>
          <t>GRUMS</t>
        </is>
      </c>
      <c r="I81" t="n">
        <v>13.7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45450</v>
      </c>
      <c r="E82" s="1" t="n">
        <v>46250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46250</v>
      </c>
      <c r="F83" t="inlineStr">
        <is>
          <t>VÄRMLANDS LÄN</t>
        </is>
      </c>
      <c r="G83" t="inlineStr">
        <is>
          <t>GRUMS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45408</v>
      </c>
      <c r="E84" s="1" t="n">
        <v>46250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46250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46250</v>
      </c>
      <c r="F86" t="inlineStr">
        <is>
          <t>VÄRMLANDS LÄN</t>
        </is>
      </c>
      <c r="G86" t="inlineStr">
        <is>
          <t>GRUMS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46250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46250</v>
      </c>
      <c r="F88" t="inlineStr">
        <is>
          <t>VÄRMLANDS LÄN</t>
        </is>
      </c>
      <c r="G88" t="inlineStr">
        <is>
          <t>GRUMS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37676-2023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45159</v>
      </c>
      <c r="E89" s="1" t="n">
        <v>46250</v>
      </c>
      <c r="F89" t="inlineStr">
        <is>
          <t>VÄRMLANDS LÄN</t>
        </is>
      </c>
      <c r="G89" t="inlineStr">
        <is>
          <t>GRUMS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46250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44755</v>
      </c>
      <c r="E91" s="1" t="n">
        <v>46250</v>
      </c>
      <c r="F91" t="inlineStr">
        <is>
          <t>VÄRMLANDS LÄN</t>
        </is>
      </c>
      <c r="G91" t="inlineStr">
        <is>
          <t>GRUMS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44425</v>
      </c>
      <c r="E92" s="1" t="n">
        <v>46250</v>
      </c>
      <c r="F92" t="inlineStr">
        <is>
          <t>VÄRMLANDS LÄN</t>
        </is>
      </c>
      <c r="G92" t="inlineStr">
        <is>
          <t>GRUMS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46250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28228-2024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46250</v>
      </c>
      <c r="F94" t="inlineStr">
        <is>
          <t>VÄRMLANDS LÄN</t>
        </is>
      </c>
      <c r="G94" t="inlineStr">
        <is>
          <t>GRUMS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73306-2021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44547</v>
      </c>
      <c r="E95" s="1" t="n">
        <v>46250</v>
      </c>
      <c r="F95" t="inlineStr">
        <is>
          <t>VÄRMLANDS LÄN</t>
        </is>
      </c>
      <c r="G95" t="inlineStr">
        <is>
          <t>GRUMS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46250</v>
      </c>
      <c r="F96" t="inlineStr">
        <is>
          <t>VÄRMLANDS LÄN</t>
        </is>
      </c>
      <c r="G96" t="inlineStr">
        <is>
          <t>GRUMS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46250</v>
      </c>
      <c r="F97" t="inlineStr">
        <is>
          <t>VÄRMLANDS LÄN</t>
        </is>
      </c>
      <c r="G97" t="inlineStr">
        <is>
          <t>GRUMS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45461</v>
      </c>
      <c r="E98" s="1" t="n">
        <v>46250</v>
      </c>
      <c r="F98" t="inlineStr">
        <is>
          <t>VÄRMLANDS LÄN</t>
        </is>
      </c>
      <c r="G98" t="inlineStr">
        <is>
          <t>GRUMS</t>
        </is>
      </c>
      <c r="I98" t="n">
        <v>12.8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17081-2024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45412</v>
      </c>
      <c r="E99" s="1" t="n">
        <v>46250</v>
      </c>
      <c r="F99" t="inlineStr">
        <is>
          <t>VÄRMLANDS LÄN</t>
        </is>
      </c>
      <c r="G99" t="inlineStr">
        <is>
          <t>GRUMS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46250</v>
      </c>
      <c r="F100" t="inlineStr">
        <is>
          <t>VÄRMLANDS LÄN</t>
        </is>
      </c>
      <c r="G100" t="inlineStr">
        <is>
          <t>GRUMS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44468</v>
      </c>
      <c r="E101" s="1" t="n">
        <v>46250</v>
      </c>
      <c r="F101" t="inlineStr">
        <is>
          <t>VÄRMLANDS LÄN</t>
        </is>
      </c>
      <c r="G101" t="inlineStr">
        <is>
          <t>GRUMS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44547</v>
      </c>
      <c r="E102" s="1" t="n">
        <v>46250</v>
      </c>
      <c r="F102" t="inlineStr">
        <is>
          <t>VÄRMLANDS LÄN</t>
        </is>
      </c>
      <c r="G102" t="inlineStr">
        <is>
          <t>GRUMS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46250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46250</v>
      </c>
      <c r="F104" t="inlineStr">
        <is>
          <t>VÄRMLANDS LÄN</t>
        </is>
      </c>
      <c r="G104" t="inlineStr">
        <is>
          <t>GRUMS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46250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46250</v>
      </c>
      <c r="F106" t="inlineStr">
        <is>
          <t>VÄRMLANDS LÄN</t>
        </is>
      </c>
      <c r="G106" t="inlineStr">
        <is>
          <t>GRUMS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45812-2025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46250</v>
      </c>
      <c r="F107" t="inlineStr">
        <is>
          <t>VÄRMLANDS LÄN</t>
        </is>
      </c>
      <c r="G107" t="inlineStr">
        <is>
          <t>GRUMS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46250</v>
      </c>
      <c r="F108" t="inlineStr">
        <is>
          <t>VÄRMLANDS LÄN</t>
        </is>
      </c>
      <c r="G108" t="inlineStr">
        <is>
          <t>GRUMS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46250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46250</v>
      </c>
      <c r="F110" t="inlineStr">
        <is>
          <t>VÄRMLANDS LÄN</t>
        </is>
      </c>
      <c r="G110" t="inlineStr">
        <is>
          <t>GRUMS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46250</v>
      </c>
      <c r="F111" t="inlineStr">
        <is>
          <t>VÄRMLANDS LÄN</t>
        </is>
      </c>
      <c r="G111" t="inlineStr">
        <is>
          <t>GRUMS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12283-2026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46087</v>
      </c>
      <c r="E112" s="1" t="n">
        <v>46250</v>
      </c>
      <c r="F112" t="inlineStr">
        <is>
          <t>VÄRMLANDS LÄN</t>
        </is>
      </c>
      <c r="G112" t="inlineStr">
        <is>
          <t>GRUMS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46250</v>
      </c>
      <c r="F113" t="inlineStr">
        <is>
          <t>VÄRMLANDS LÄN</t>
        </is>
      </c>
      <c r="G113" t="inlineStr">
        <is>
          <t>GRUMS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46250</v>
      </c>
      <c r="F114" t="inlineStr">
        <is>
          <t>VÄRMLANDS LÄN</t>
        </is>
      </c>
      <c r="G114" t="inlineStr">
        <is>
          <t>GRUMS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44958</v>
      </c>
      <c r="E115" s="1" t="n">
        <v>46250</v>
      </c>
      <c r="F115" t="inlineStr">
        <is>
          <t>VÄRMLANDS LÄN</t>
        </is>
      </c>
      <c r="G115" t="inlineStr">
        <is>
          <t>GRUMS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44924</v>
      </c>
      <c r="E116" s="1" t="n">
        <v>46250</v>
      </c>
      <c r="F116" t="inlineStr">
        <is>
          <t>VÄRMLANDS LÄN</t>
        </is>
      </c>
      <c r="G116" t="inlineStr">
        <is>
          <t>GRUMS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46250</v>
      </c>
      <c r="F117" t="inlineStr">
        <is>
          <t>VÄRMLANDS LÄN</t>
        </is>
      </c>
      <c r="G117" t="inlineStr">
        <is>
          <t>GRUMS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46250</v>
      </c>
      <c r="F118" t="inlineStr">
        <is>
          <t>VÄRMLANDS LÄN</t>
        </is>
      </c>
      <c r="G118" t="inlineStr">
        <is>
          <t>GRUMS</t>
        </is>
      </c>
      <c r="I118" t="n">
        <v>18.2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46250</v>
      </c>
      <c r="F119" t="inlineStr">
        <is>
          <t>VÄRMLANDS LÄN</t>
        </is>
      </c>
      <c r="G119" t="inlineStr">
        <is>
          <t>GRUMS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46250</v>
      </c>
      <c r="F120" t="inlineStr">
        <is>
          <t>VÄRMLANDS LÄN</t>
        </is>
      </c>
      <c r="G120" t="inlineStr">
        <is>
          <t>GRUMS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51509-2025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45950</v>
      </c>
      <c r="E121" s="1" t="n">
        <v>46250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31362-2024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45505</v>
      </c>
      <c r="E122" s="1" t="n">
        <v>46250</v>
      </c>
      <c r="F122" t="inlineStr">
        <is>
          <t>VÄRMLANDS LÄN</t>
        </is>
      </c>
      <c r="G122" t="inlineStr">
        <is>
          <t>GRUMS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14688-2026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46101</v>
      </c>
      <c r="E123" s="1" t="n">
        <v>46250</v>
      </c>
      <c r="F123" t="inlineStr">
        <is>
          <t>VÄRMLANDS LÄN</t>
        </is>
      </c>
      <c r="G123" t="inlineStr">
        <is>
          <t>GRUMS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45484</v>
      </c>
      <c r="E124" s="1" t="n">
        <v>46250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10.1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45956</v>
      </c>
      <c r="E125" s="1" t="n">
        <v>46250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44924</v>
      </c>
      <c r="E126" s="1" t="n">
        <v>46250</v>
      </c>
      <c r="F126" t="inlineStr">
        <is>
          <t>VÄRMLANDS LÄN</t>
        </is>
      </c>
      <c r="G126" t="inlineStr">
        <is>
          <t>GRUMS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45956</v>
      </c>
      <c r="E127" s="1" t="n">
        <v>46250</v>
      </c>
      <c r="F127" t="inlineStr">
        <is>
          <t>VÄRMLANDS LÄN</t>
        </is>
      </c>
      <c r="G127" t="inlineStr">
        <is>
          <t>GRUMS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7991-2024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45350</v>
      </c>
      <c r="E128" s="1" t="n">
        <v>46250</v>
      </c>
      <c r="F128" t="inlineStr">
        <is>
          <t>VÄRMLANDS LÄN</t>
        </is>
      </c>
      <c r="G128" t="inlineStr">
        <is>
          <t>GRUMS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46250</v>
      </c>
      <c r="F129" t="inlineStr">
        <is>
          <t>VÄRMLANDS LÄN</t>
        </is>
      </c>
      <c r="G129" t="inlineStr">
        <is>
          <t>GRUMS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46250</v>
      </c>
      <c r="F130" t="inlineStr">
        <is>
          <t>VÄRMLANDS LÄN</t>
        </is>
      </c>
      <c r="G130" t="inlineStr">
        <is>
          <t>GRUMS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13320-2024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45386</v>
      </c>
      <c r="E131" s="1" t="n">
        <v>46250</v>
      </c>
      <c r="F131" t="inlineStr">
        <is>
          <t>VÄRMLANDS LÄN</t>
        </is>
      </c>
      <c r="G131" t="inlineStr">
        <is>
          <t>GRUMS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46250</v>
      </c>
      <c r="F132" t="inlineStr">
        <is>
          <t>VÄRMLANDS LÄN</t>
        </is>
      </c>
      <c r="G132" t="inlineStr">
        <is>
          <t>GRUMS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46250</v>
      </c>
      <c r="F133" t="inlineStr">
        <is>
          <t>VÄRMLANDS LÄN</t>
        </is>
      </c>
      <c r="G133" t="inlineStr">
        <is>
          <t>GRUMS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44963</v>
      </c>
      <c r="E134" s="1" t="n">
        <v>46250</v>
      </c>
      <c r="F134" t="inlineStr">
        <is>
          <t>VÄRMLANDS LÄN</t>
        </is>
      </c>
      <c r="G134" t="inlineStr">
        <is>
          <t>GRUMS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46250</v>
      </c>
      <c r="F135" t="inlineStr">
        <is>
          <t>VÄRMLANDS LÄN</t>
        </is>
      </c>
      <c r="G135" t="inlineStr">
        <is>
          <t>GRUMS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46250</v>
      </c>
      <c r="F136" t="inlineStr">
        <is>
          <t>VÄRMLANDS LÄN</t>
        </is>
      </c>
      <c r="G136" t="inlineStr">
        <is>
          <t>GRUMS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43242-2021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44432</v>
      </c>
      <c r="E137" s="1" t="n">
        <v>46250</v>
      </c>
      <c r="F137" t="inlineStr">
        <is>
          <t>VÄRMLANDS LÄN</t>
        </is>
      </c>
      <c r="G137" t="inlineStr">
        <is>
          <t>GRUMS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44956</v>
      </c>
      <c r="E138" s="1" t="n">
        <v>46250</v>
      </c>
      <c r="F138" t="inlineStr">
        <is>
          <t>VÄRMLANDS LÄN</t>
        </is>
      </c>
      <c r="G138" t="inlineStr">
        <is>
          <t>GRUMS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46250</v>
      </c>
      <c r="F139" t="inlineStr">
        <is>
          <t>VÄRMLANDS LÄN</t>
        </is>
      </c>
      <c r="G139" t="inlineStr">
        <is>
          <t>GRUMS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46250</v>
      </c>
      <c r="F140" t="inlineStr">
        <is>
          <t>VÄRMLANDS LÄN</t>
        </is>
      </c>
      <c r="G140" t="inlineStr">
        <is>
          <t>GRUMS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45986</v>
      </c>
      <c r="E141" s="1" t="n">
        <v>46250</v>
      </c>
      <c r="F141" t="inlineStr">
        <is>
          <t>VÄRMLANDS LÄN</t>
        </is>
      </c>
      <c r="G141" t="inlineStr">
        <is>
          <t>GRUMS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46250</v>
      </c>
      <c r="F142" t="inlineStr">
        <is>
          <t>VÄRMLANDS LÄN</t>
        </is>
      </c>
      <c r="G142" t="inlineStr">
        <is>
          <t>GRUMS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46250</v>
      </c>
      <c r="F143" t="inlineStr">
        <is>
          <t>VÄRMLANDS LÄN</t>
        </is>
      </c>
      <c r="G143" t="inlineStr">
        <is>
          <t>GRUMS</t>
        </is>
      </c>
      <c r="H143" t="inlineStr">
        <is>
          <t>Bergvik skog väst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44795</v>
      </c>
      <c r="E144" s="1" t="n">
        <v>46250</v>
      </c>
      <c r="F144" t="inlineStr">
        <is>
          <t>VÄRMLANDS LÄN</t>
        </is>
      </c>
      <c r="G144" t="inlineStr">
        <is>
          <t>GRUMS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44785</v>
      </c>
      <c r="E145" s="1" t="n">
        <v>46250</v>
      </c>
      <c r="F145" t="inlineStr">
        <is>
          <t>VÄRMLANDS LÄN</t>
        </is>
      </c>
      <c r="G145" t="inlineStr">
        <is>
          <t>GRUMS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45107</v>
      </c>
      <c r="E146" s="1" t="n">
        <v>46250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45996</v>
      </c>
      <c r="E147" s="1" t="n">
        <v>46250</v>
      </c>
      <c r="F147" t="inlineStr">
        <is>
          <t>VÄRMLANDS LÄN</t>
        </is>
      </c>
      <c r="G147" t="inlineStr">
        <is>
          <t>GRUMS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45049</v>
      </c>
      <c r="E148" s="1" t="n">
        <v>46250</v>
      </c>
      <c r="F148" t="inlineStr">
        <is>
          <t>VÄRMLANDS LÄN</t>
        </is>
      </c>
      <c r="G148" t="inlineStr">
        <is>
          <t>GRUMS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46250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19054-2026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46132</v>
      </c>
      <c r="E150" s="1" t="n">
        <v>46250</v>
      </c>
      <c r="F150" t="inlineStr">
        <is>
          <t>VÄRMLANDS LÄN</t>
        </is>
      </c>
      <c r="G150" t="inlineStr">
        <is>
          <t>GRUMS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46250</v>
      </c>
      <c r="F151" t="inlineStr">
        <is>
          <t>VÄRMLANDS LÄN</t>
        </is>
      </c>
      <c r="G151" t="inlineStr">
        <is>
          <t>GRUMS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46250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59542-2022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46250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46250</v>
      </c>
      <c r="F154" t="inlineStr">
        <is>
          <t>VÄRMLANDS LÄN</t>
        </is>
      </c>
      <c r="G154" t="inlineStr">
        <is>
          <t>GRUMS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46250</v>
      </c>
      <c r="F155" t="inlineStr">
        <is>
          <t>VÄRMLANDS LÄN</t>
        </is>
      </c>
      <c r="G155" t="inlineStr">
        <is>
          <t>GRUMS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46250</v>
      </c>
      <c r="F156" t="inlineStr">
        <is>
          <t>VÄRMLANDS LÄN</t>
        </is>
      </c>
      <c r="G156" t="inlineStr">
        <is>
          <t>GRUMS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45419</v>
      </c>
      <c r="E157" s="1" t="n">
        <v>46250</v>
      </c>
      <c r="F157" t="inlineStr">
        <is>
          <t>VÄRMLANDS LÄN</t>
        </is>
      </c>
      <c r="G157" t="inlineStr">
        <is>
          <t>GRUMS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46250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45989</v>
      </c>
      <c r="E159" s="1" t="n">
        <v>46250</v>
      </c>
      <c r="F159" t="inlineStr">
        <is>
          <t>VÄRMLANDS LÄN</t>
        </is>
      </c>
      <c r="G159" t="inlineStr">
        <is>
          <t>GRUMS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46250</v>
      </c>
      <c r="F160" t="inlineStr">
        <is>
          <t>VÄRMLANDS LÄN</t>
        </is>
      </c>
      <c r="G160" t="inlineStr">
        <is>
          <t>GRUMS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46250</v>
      </c>
      <c r="F161" t="inlineStr">
        <is>
          <t>VÄRMLANDS LÄN</t>
        </is>
      </c>
      <c r="G161" t="inlineStr">
        <is>
          <t>GRUMS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71781-2021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44539</v>
      </c>
      <c r="E162" s="1" t="n">
        <v>46250</v>
      </c>
      <c r="F162" t="inlineStr">
        <is>
          <t>VÄRMLANDS LÄN</t>
        </is>
      </c>
      <c r="G162" t="inlineStr">
        <is>
          <t>GRUMS</t>
        </is>
      </c>
      <c r="H162" t="inlineStr">
        <is>
          <t>Bergvik skog väst AB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31930-2024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45510</v>
      </c>
      <c r="E163" s="1" t="n">
        <v>46250</v>
      </c>
      <c r="F163" t="inlineStr">
        <is>
          <t>VÄRMLANDS LÄN</t>
        </is>
      </c>
      <c r="G163" t="inlineStr">
        <is>
          <t>GRUMS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46250</v>
      </c>
      <c r="F164" t="inlineStr">
        <is>
          <t>VÄRMLANDS LÄN</t>
        </is>
      </c>
      <c r="G164" t="inlineStr">
        <is>
          <t>GRUMS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46250</v>
      </c>
      <c r="F165" t="inlineStr">
        <is>
          <t>VÄRMLANDS LÄN</t>
        </is>
      </c>
      <c r="G165" t="inlineStr">
        <is>
          <t>GRUMS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73901-2021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44552</v>
      </c>
      <c r="E166" s="1" t="n">
        <v>46250</v>
      </c>
      <c r="F166" t="inlineStr">
        <is>
          <t>VÄRMLANDS LÄN</t>
        </is>
      </c>
      <c r="G166" t="inlineStr">
        <is>
          <t>GRUMS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44753</v>
      </c>
      <c r="E167" s="1" t="n">
        <v>46250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14.4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30339-2022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44760</v>
      </c>
      <c r="E168" s="1" t="n">
        <v>46250</v>
      </c>
      <c r="F168" t="inlineStr">
        <is>
          <t>VÄRMLANDS LÄN</t>
        </is>
      </c>
      <c r="G168" t="inlineStr">
        <is>
          <t>GRUMS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46250</v>
      </c>
      <c r="F169" t="inlineStr">
        <is>
          <t>VÄRMLANDS LÄN</t>
        </is>
      </c>
      <c r="G169" t="inlineStr">
        <is>
          <t>GRUMS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46250</v>
      </c>
      <c r="F170" t="inlineStr">
        <is>
          <t>VÄRMLANDS LÄN</t>
        </is>
      </c>
      <c r="G170" t="inlineStr">
        <is>
          <t>GRUMS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46250</v>
      </c>
      <c r="F171" t="inlineStr">
        <is>
          <t>VÄRMLANDS LÄN</t>
        </is>
      </c>
      <c r="G171" t="inlineStr">
        <is>
          <t>GRUMS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46250</v>
      </c>
      <c r="F172" t="inlineStr">
        <is>
          <t>VÄRMLANDS LÄN</t>
        </is>
      </c>
      <c r="G172" t="inlineStr">
        <is>
          <t>GRUMS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26840-2023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45093</v>
      </c>
      <c r="E173" s="1" t="n">
        <v>46250</v>
      </c>
      <c r="F173" t="inlineStr">
        <is>
          <t>VÄRMLANDS LÄN</t>
        </is>
      </c>
      <c r="G173" t="inlineStr">
        <is>
          <t>GRUMS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46250</v>
      </c>
      <c r="F174" t="inlineStr">
        <is>
          <t>VÄRMLANDS LÄN</t>
        </is>
      </c>
      <c r="G174" t="inlineStr">
        <is>
          <t>GRUMS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46250</v>
      </c>
      <c r="F175" t="inlineStr">
        <is>
          <t>VÄRMLANDS LÄN</t>
        </is>
      </c>
      <c r="G175" t="inlineStr">
        <is>
          <t>GRUMS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46250</v>
      </c>
      <c r="F176" t="inlineStr">
        <is>
          <t>VÄRMLANDS LÄN</t>
        </is>
      </c>
      <c r="G176" t="inlineStr">
        <is>
          <t>GRUMS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46039</v>
      </c>
      <c r="E177" s="1" t="n">
        <v>46250</v>
      </c>
      <c r="F177" t="inlineStr">
        <is>
          <t>VÄRMLANDS LÄN</t>
        </is>
      </c>
      <c r="G177" t="inlineStr">
        <is>
          <t>GRUMS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45329</v>
      </c>
      <c r="E178" s="1" t="n">
        <v>46250</v>
      </c>
      <c r="F178" t="inlineStr">
        <is>
          <t>VÄRMLANDS LÄN</t>
        </is>
      </c>
      <c r="G178" t="inlineStr">
        <is>
          <t>GRUMS</t>
        </is>
      </c>
      <c r="I178" t="n">
        <v>22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46250</v>
      </c>
      <c r="F179" t="inlineStr">
        <is>
          <t>VÄRMLANDS LÄN</t>
        </is>
      </c>
      <c r="G179" t="inlineStr">
        <is>
          <t>GRUMS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46250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52848-2021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46250</v>
      </c>
      <c r="F181" t="inlineStr">
        <is>
          <t>VÄRMLANDS LÄN</t>
        </is>
      </c>
      <c r="G181" t="inlineStr">
        <is>
          <t>GRUMS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45776</v>
      </c>
      <c r="E182" s="1" t="n">
        <v>46250</v>
      </c>
      <c r="F182" t="inlineStr">
        <is>
          <t>VÄRMLANDS LÄN</t>
        </is>
      </c>
      <c r="G182" t="inlineStr">
        <is>
          <t>GRUMS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46250</v>
      </c>
      <c r="F183" t="inlineStr">
        <is>
          <t>VÄRMLANDS LÄN</t>
        </is>
      </c>
      <c r="G183" t="inlineStr">
        <is>
          <t>GRUMS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46250</v>
      </c>
      <c r="F184" t="inlineStr">
        <is>
          <t>VÄRMLANDS LÄN</t>
        </is>
      </c>
      <c r="G184" t="inlineStr">
        <is>
          <t>GRUMS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45329</v>
      </c>
      <c r="E185" s="1" t="n">
        <v>46250</v>
      </c>
      <c r="F185" t="inlineStr">
        <is>
          <t>VÄRMLANDS LÄN</t>
        </is>
      </c>
      <c r="G185" t="inlineStr">
        <is>
          <t>GRUMS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45231</v>
      </c>
      <c r="E186" s="1" t="n">
        <v>46250</v>
      </c>
      <c r="F186" t="inlineStr">
        <is>
          <t>VÄRMLANDS LÄN</t>
        </is>
      </c>
      <c r="G186" t="inlineStr">
        <is>
          <t>GRUMS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46250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46250</v>
      </c>
      <c r="F188" t="inlineStr">
        <is>
          <t>VÄRMLANDS LÄN</t>
        </is>
      </c>
      <c r="G188" t="inlineStr">
        <is>
          <t>GRUMS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46250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46250</v>
      </c>
      <c r="F190" t="inlineStr">
        <is>
          <t>VÄRMLANDS LÄN</t>
        </is>
      </c>
      <c r="G190" t="inlineStr">
        <is>
          <t>GRUMS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45124</v>
      </c>
      <c r="E191" s="1" t="n">
        <v>46250</v>
      </c>
      <c r="F191" t="inlineStr">
        <is>
          <t>VÄRMLANDS LÄN</t>
        </is>
      </c>
      <c r="G191" t="inlineStr">
        <is>
          <t>GRUMS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46250</v>
      </c>
      <c r="F192" t="inlineStr">
        <is>
          <t>VÄRMLANDS LÄN</t>
        </is>
      </c>
      <c r="G192" t="inlineStr">
        <is>
          <t>GRUMS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46250</v>
      </c>
      <c r="F193" t="inlineStr">
        <is>
          <t>VÄRMLANDS LÄN</t>
        </is>
      </c>
      <c r="G193" t="inlineStr">
        <is>
          <t>GRUMS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73033-2021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46250</v>
      </c>
      <c r="F194" t="inlineStr">
        <is>
          <t>VÄRMLANDS LÄN</t>
        </is>
      </c>
      <c r="G194" t="inlineStr">
        <is>
          <t>GRUMS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46250</v>
      </c>
      <c r="F195" t="inlineStr">
        <is>
          <t>VÄRMLANDS LÄN</t>
        </is>
      </c>
      <c r="G195" t="inlineStr">
        <is>
          <t>GRUMS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46250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46250</v>
      </c>
      <c r="F197" t="inlineStr">
        <is>
          <t>VÄRMLANDS LÄN</t>
        </is>
      </c>
      <c r="G197" t="inlineStr">
        <is>
          <t>GRUMS</t>
        </is>
      </c>
      <c r="I197" t="n">
        <v>13.8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45343</v>
      </c>
      <c r="E198" s="1" t="n">
        <v>46250</v>
      </c>
      <c r="F198" t="inlineStr">
        <is>
          <t>VÄRMLANDS LÄN</t>
        </is>
      </c>
      <c r="G198" t="inlineStr">
        <is>
          <t>GRUMS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46250</v>
      </c>
      <c r="F199" t="inlineStr">
        <is>
          <t>VÄRMLANDS LÄN</t>
        </is>
      </c>
      <c r="G199" t="inlineStr">
        <is>
          <t>GRUMS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64304-2023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45280</v>
      </c>
      <c r="E200" s="1" t="n">
        <v>46250</v>
      </c>
      <c r="F200" t="inlineStr">
        <is>
          <t>VÄRMLANDS LÄN</t>
        </is>
      </c>
      <c r="G200" t="inlineStr">
        <is>
          <t>GRUMS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46250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46250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46250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45089</v>
      </c>
      <c r="E204" s="1" t="n">
        <v>46250</v>
      </c>
      <c r="F204" t="inlineStr">
        <is>
          <t>VÄRMLANDS LÄN</t>
        </is>
      </c>
      <c r="G204" t="inlineStr">
        <is>
          <t>GRUMS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46250</v>
      </c>
      <c r="F205" t="inlineStr">
        <is>
          <t>VÄRMLANDS LÄN</t>
        </is>
      </c>
      <c r="G205" t="inlineStr">
        <is>
          <t>GRUMS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45011</v>
      </c>
      <c r="E206" s="1" t="n">
        <v>46250</v>
      </c>
      <c r="F206" t="inlineStr">
        <is>
          <t>VÄRMLANDS LÄN</t>
        </is>
      </c>
      <c r="G206" t="inlineStr">
        <is>
          <t>GRUMS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46250</v>
      </c>
      <c r="F207" t="inlineStr">
        <is>
          <t>VÄRMLANDS LÄN</t>
        </is>
      </c>
      <c r="G207" t="inlineStr">
        <is>
          <t>GRUMS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46250</v>
      </c>
      <c r="F208" t="inlineStr">
        <is>
          <t>VÄRMLANDS LÄN</t>
        </is>
      </c>
      <c r="G208" t="inlineStr">
        <is>
          <t>GRUMS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46250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46154</v>
      </c>
      <c r="E210" s="1" t="n">
        <v>46250</v>
      </c>
      <c r="F210" t="inlineStr">
        <is>
          <t>VÄRMLANDS LÄN</t>
        </is>
      </c>
      <c r="G210" t="inlineStr">
        <is>
          <t>GRUMS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45336</v>
      </c>
      <c r="E211" s="1" t="n">
        <v>46250</v>
      </c>
      <c r="F211" t="inlineStr">
        <is>
          <t>VÄRMLANDS LÄN</t>
        </is>
      </c>
      <c r="G211" t="inlineStr">
        <is>
          <t>GRUMS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46250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46250</v>
      </c>
      <c r="F213" t="inlineStr">
        <is>
          <t>VÄRMLANDS LÄN</t>
        </is>
      </c>
      <c r="G213" t="inlineStr">
        <is>
          <t>GRUMS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46250</v>
      </c>
      <c r="F214" t="inlineStr">
        <is>
          <t>VÄRMLANDS LÄN</t>
        </is>
      </c>
      <c r="G214" t="inlineStr">
        <is>
          <t>GRUMS</t>
        </is>
      </c>
      <c r="H214" t="inlineStr">
        <is>
          <t>BillerudKorsnäs AB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71903-2021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46250</v>
      </c>
      <c r="F215" t="inlineStr">
        <is>
          <t>VÄRMLANDS LÄN</t>
        </is>
      </c>
      <c r="G215" t="inlineStr">
        <is>
          <t>GRUMS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46250</v>
      </c>
      <c r="F216" t="inlineStr">
        <is>
          <t>VÄRMLANDS LÄN</t>
        </is>
      </c>
      <c r="G216" t="inlineStr">
        <is>
          <t>GRUMS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46250</v>
      </c>
      <c r="F217" t="inlineStr">
        <is>
          <t>VÄRMLANDS LÄN</t>
        </is>
      </c>
      <c r="G217" t="inlineStr">
        <is>
          <t>GRUMS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69847-2021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44532</v>
      </c>
      <c r="E218" s="1" t="n">
        <v>46250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46250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46250</v>
      </c>
      <c r="F220" t="inlineStr">
        <is>
          <t>VÄRMLANDS LÄN</t>
        </is>
      </c>
      <c r="G220" t="inlineStr">
        <is>
          <t>GRUMS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45113</v>
      </c>
      <c r="E221" s="1" t="n">
        <v>46250</v>
      </c>
      <c r="F221" t="inlineStr">
        <is>
          <t>VÄRMLANDS LÄN</t>
        </is>
      </c>
      <c r="G221" t="inlineStr">
        <is>
          <t>GRUMS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71706-2021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44543</v>
      </c>
      <c r="E222" s="1" t="n">
        <v>46250</v>
      </c>
      <c r="F222" t="inlineStr">
        <is>
          <t>VÄRMLANDS LÄN</t>
        </is>
      </c>
      <c r="G222" t="inlineStr">
        <is>
          <t>GRUMS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46250</v>
      </c>
      <c r="F223" t="inlineStr">
        <is>
          <t>VÄRMLANDS LÄN</t>
        </is>
      </c>
      <c r="G223" t="inlineStr">
        <is>
          <t>GRUMS</t>
        </is>
      </c>
      <c r="H223" t="inlineStr">
        <is>
          <t>Kommuner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46164</v>
      </c>
      <c r="E224" s="1" t="n">
        <v>46250</v>
      </c>
      <c r="F224" t="inlineStr">
        <is>
          <t>VÄRMLANDS LÄN</t>
        </is>
      </c>
      <c r="G224" t="inlineStr">
        <is>
          <t>GRUMS</t>
        </is>
      </c>
      <c r="H224" t="inlineStr">
        <is>
          <t>Kommuner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46164</v>
      </c>
      <c r="E225" s="1" t="n">
        <v>46250</v>
      </c>
      <c r="F225" t="inlineStr">
        <is>
          <t>VÄRMLANDS LÄN</t>
        </is>
      </c>
      <c r="G225" t="inlineStr">
        <is>
          <t>GRUMS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46250</v>
      </c>
      <c r="F226" t="inlineStr">
        <is>
          <t>VÄRMLANDS LÄN</t>
        </is>
      </c>
      <c r="G226" t="inlineStr">
        <is>
          <t>GRUMS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46250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46250</v>
      </c>
      <c r="F228" t="inlineStr">
        <is>
          <t>VÄRMLANDS LÄN</t>
        </is>
      </c>
      <c r="G228" t="inlineStr">
        <is>
          <t>GRUMS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46167</v>
      </c>
      <c r="E229" s="1" t="n">
        <v>46250</v>
      </c>
      <c r="F229" t="inlineStr">
        <is>
          <t>VÄRMLANDS LÄN</t>
        </is>
      </c>
      <c r="G229" t="inlineStr">
        <is>
          <t>GRUMS</t>
        </is>
      </c>
      <c r="H229" t="inlineStr">
        <is>
          <t>Kommuner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46250</v>
      </c>
      <c r="F230" t="inlineStr">
        <is>
          <t>VÄRMLANDS LÄN</t>
        </is>
      </c>
      <c r="G230" t="inlineStr">
        <is>
          <t>GRUMS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22537-2025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45787</v>
      </c>
      <c r="E231" s="1" t="n">
        <v>46250</v>
      </c>
      <c r="F231" t="inlineStr">
        <is>
          <t>VÄRMLANDS LÄN</t>
        </is>
      </c>
      <c r="G231" t="inlineStr">
        <is>
          <t>GRUMS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46250</v>
      </c>
      <c r="F232" t="inlineStr">
        <is>
          <t>VÄRMLANDS LÄN</t>
        </is>
      </c>
      <c r="G232" t="inlineStr">
        <is>
          <t>GRUMS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46250</v>
      </c>
      <c r="F233" t="inlineStr">
        <is>
          <t>VÄRMLANDS LÄN</t>
        </is>
      </c>
      <c r="G233" t="inlineStr">
        <is>
          <t>GRUMS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46214</v>
      </c>
      <c r="E234" s="1" t="n">
        <v>46250</v>
      </c>
      <c r="F234" t="inlineStr">
        <is>
          <t>VÄRMLANDS LÄN</t>
        </is>
      </c>
      <c r="G234" t="inlineStr">
        <is>
          <t>GRUMS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46250</v>
      </c>
      <c r="F235" t="inlineStr">
        <is>
          <t>VÄRMLANDS LÄN</t>
        </is>
      </c>
      <c r="G235" t="inlineStr">
        <is>
          <t>GRUMS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66056-2021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46250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46250</v>
      </c>
      <c r="F237" t="inlineStr">
        <is>
          <t>VÄRMLANDS LÄN</t>
        </is>
      </c>
      <c r="G237" t="inlineStr">
        <is>
          <t>GRUMS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45316</v>
      </c>
      <c r="E238" s="1" t="n">
        <v>46250</v>
      </c>
      <c r="F238" t="inlineStr">
        <is>
          <t>VÄRMLANDS LÄN</t>
        </is>
      </c>
      <c r="G238" t="inlineStr">
        <is>
          <t>GRUMS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45377</v>
      </c>
      <c r="E239" s="1" t="n">
        <v>46250</v>
      </c>
      <c r="F239" t="inlineStr">
        <is>
          <t>VÄRMLANDS LÄN</t>
        </is>
      </c>
      <c r="G239" t="inlineStr">
        <is>
          <t>GRUMS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45377</v>
      </c>
      <c r="E240" s="1" t="n">
        <v>46250</v>
      </c>
      <c r="F240" t="inlineStr">
        <is>
          <t>VÄRMLANDS LÄN</t>
        </is>
      </c>
      <c r="G240" t="inlineStr">
        <is>
          <t>GRUMS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45061</v>
      </c>
      <c r="E241" s="1" t="n">
        <v>46250</v>
      </c>
      <c r="F241" t="inlineStr">
        <is>
          <t>VÄRMLANDS LÄN</t>
        </is>
      </c>
      <c r="G241" t="inlineStr">
        <is>
          <t>GRUMS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46250</v>
      </c>
      <c r="F242" t="inlineStr">
        <is>
          <t>VÄRMLANDS LÄN</t>
        </is>
      </c>
      <c r="G242" t="inlineStr">
        <is>
          <t>GRUMS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46224</v>
      </c>
      <c r="E243" s="1" t="n">
        <v>46250</v>
      </c>
      <c r="F243" t="inlineStr">
        <is>
          <t>VÄRMLANDS LÄN</t>
        </is>
      </c>
      <c r="G243" t="inlineStr">
        <is>
          <t>GRUMS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46250</v>
      </c>
      <c r="F244" t="inlineStr">
        <is>
          <t>VÄRMLANDS LÄN</t>
        </is>
      </c>
      <c r="G244" t="inlineStr">
        <is>
          <t>GRUMS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26015-2026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46181</v>
      </c>
      <c r="E245" s="1" t="n">
        <v>46250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45152</v>
      </c>
      <c r="E246" s="1" t="n">
        <v>46250</v>
      </c>
      <c r="F246" t="inlineStr">
        <is>
          <t>VÄRMLANDS LÄN</t>
        </is>
      </c>
      <c r="G246" t="inlineStr">
        <is>
          <t>GRUMS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46250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46250</v>
      </c>
      <c r="F248" t="inlineStr">
        <is>
          <t>VÄRMLANDS LÄN</t>
        </is>
      </c>
      <c r="G248" t="inlineStr">
        <is>
          <t>GRUMS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46250</v>
      </c>
      <c r="F249" t="inlineStr">
        <is>
          <t>VÄRMLANDS LÄN</t>
        </is>
      </c>
      <c r="G249" t="inlineStr">
        <is>
          <t>GRUMS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45377</v>
      </c>
      <c r="E250" s="1" t="n">
        <v>46250</v>
      </c>
      <c r="F250" t="inlineStr">
        <is>
          <t>VÄRMLANDS LÄN</t>
        </is>
      </c>
      <c r="G250" t="inlineStr">
        <is>
          <t>GRUMS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45757</v>
      </c>
      <c r="E251" s="1" t="n">
        <v>46250</v>
      </c>
      <c r="F251" t="inlineStr">
        <is>
          <t>VÄRMLANDS LÄN</t>
        </is>
      </c>
      <c r="G251" t="inlineStr">
        <is>
          <t>GRUMS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44762</v>
      </c>
      <c r="E252" s="1" t="n">
        <v>46250</v>
      </c>
      <c r="F252" t="inlineStr">
        <is>
          <t>VÄRMLANDS LÄN</t>
        </is>
      </c>
      <c r="G252" t="inlineStr">
        <is>
          <t>GRUMS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46250</v>
      </c>
      <c r="F253" t="inlineStr">
        <is>
          <t>VÄRMLANDS LÄN</t>
        </is>
      </c>
      <c r="G253" t="inlineStr">
        <is>
          <t>GRUMS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45070</v>
      </c>
      <c r="E254" s="1" t="n">
        <v>46250</v>
      </c>
      <c r="F254" t="inlineStr">
        <is>
          <t>VÄRMLANDS LÄN</t>
        </is>
      </c>
      <c r="G254" t="inlineStr">
        <is>
          <t>GRUMS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46250</v>
      </c>
      <c r="F255" t="inlineStr">
        <is>
          <t>VÄRMLANDS LÄN</t>
        </is>
      </c>
      <c r="G255" t="inlineStr">
        <is>
          <t>GRUMS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45240</v>
      </c>
      <c r="E256" s="1" t="n">
        <v>46250</v>
      </c>
      <c r="F256" t="inlineStr">
        <is>
          <t>VÄRMLANDS LÄN</t>
        </is>
      </c>
      <c r="G256" t="inlineStr">
        <is>
          <t>GRUMS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46250</v>
      </c>
      <c r="F257" t="inlineStr">
        <is>
          <t>VÄRMLANDS LÄN</t>
        </is>
      </c>
      <c r="G257" t="inlineStr">
        <is>
          <t>GRUMS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45700</v>
      </c>
      <c r="E258" s="1" t="n">
        <v>46250</v>
      </c>
      <c r="F258" t="inlineStr">
        <is>
          <t>VÄRMLANDS LÄN</t>
        </is>
      </c>
      <c r="G258" t="inlineStr">
        <is>
          <t>GRUMS</t>
        </is>
      </c>
      <c r="H258" t="inlineStr">
        <is>
          <t>Bergvik skog väst AB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46250</v>
      </c>
      <c r="F259" t="inlineStr">
        <is>
          <t>VÄRMLANDS LÄN</t>
        </is>
      </c>
      <c r="G259" t="inlineStr">
        <is>
          <t>GRUMS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46250</v>
      </c>
      <c r="F260" t="inlineStr">
        <is>
          <t>VÄRMLANDS LÄN</t>
        </is>
      </c>
      <c r="G260" t="inlineStr">
        <is>
          <t>GRUMS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44596</v>
      </c>
      <c r="E261" s="1" t="n">
        <v>46250</v>
      </c>
      <c r="F261" t="inlineStr">
        <is>
          <t>VÄRMLANDS LÄN</t>
        </is>
      </c>
      <c r="G261" t="inlineStr">
        <is>
          <t>GRUMS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12000-2022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44635</v>
      </c>
      <c r="E262" s="1" t="n">
        <v>46250</v>
      </c>
      <c r="F262" t="inlineStr">
        <is>
          <t>VÄRMLANDS LÄN</t>
        </is>
      </c>
      <c r="G262" t="inlineStr">
        <is>
          <t>GRUMS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40935-2022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44823</v>
      </c>
      <c r="E263" s="1" t="n">
        <v>46250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46250</v>
      </c>
      <c r="F264" t="inlineStr">
        <is>
          <t>VÄRMLANDS LÄN</t>
        </is>
      </c>
      <c r="G264" t="inlineStr">
        <is>
          <t>GRUMS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11103-2022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44628</v>
      </c>
      <c r="E265" s="1" t="n">
        <v>46250</v>
      </c>
      <c r="F265" t="inlineStr">
        <is>
          <t>VÄRMLANDS LÄN</t>
        </is>
      </c>
      <c r="G265" t="inlineStr">
        <is>
          <t>GRUMS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46250</v>
      </c>
      <c r="F266" t="inlineStr">
        <is>
          <t>VÄRMLANDS LÄN</t>
        </is>
      </c>
      <c r="G266" t="inlineStr">
        <is>
          <t>GRUMS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46250</v>
      </c>
      <c r="F267" t="inlineStr">
        <is>
          <t>VÄRMLANDS LÄN</t>
        </is>
      </c>
      <c r="G267" t="inlineStr">
        <is>
          <t>GRUMS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46250</v>
      </c>
      <c r="F268" t="inlineStr">
        <is>
          <t>VÄRMLANDS LÄN</t>
        </is>
      </c>
      <c r="G268" t="inlineStr">
        <is>
          <t>GRUMS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46250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46244</v>
      </c>
      <c r="E270" s="1" t="n">
        <v>46250</v>
      </c>
      <c r="F270" t="inlineStr">
        <is>
          <t>VÄRMLANDS LÄN</t>
        </is>
      </c>
      <c r="G270" t="inlineStr">
        <is>
          <t>GRUMS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46250</v>
      </c>
      <c r="F271" t="inlineStr">
        <is>
          <t>VÄRMLANDS LÄN</t>
        </is>
      </c>
      <c r="G271" t="inlineStr">
        <is>
          <t>GRUMS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46250</v>
      </c>
      <c r="F272" t="inlineStr">
        <is>
          <t>VÄRMLANDS LÄN</t>
        </is>
      </c>
      <c r="G272" t="inlineStr">
        <is>
          <t>GRUMS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46250</v>
      </c>
      <c r="F273" t="inlineStr">
        <is>
          <t>VÄRMLANDS LÄN</t>
        </is>
      </c>
      <c r="G273" t="inlineStr">
        <is>
          <t>GRUMS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46250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46250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46250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46250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46250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2026-08-16T01:42:59Z</dcterms:created>
  <dcterms:modified xmlns:dcterms="http://purl.org/dc/terms/" xmlns:xsi="http://www.w3.org/2001/XMLSchema-instance" xsi:type="dcterms:W3CDTF">2026-08-16T01:42:59Z</dcterms:modified>
</cp:coreProperties>
</file>