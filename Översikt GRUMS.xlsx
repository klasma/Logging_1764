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Y2">
        <f>HYPERLINK("https://klasma.github.io/Logging_1764/klagomål/S 667-2023 FSC-klagomål.docx", "S 667-2023")</f>
        <v/>
      </c>
      <c r="Z2">
        <f>HYPERLINK("https://klasma.github.io/Logging_1764/klagomålsmail/S 667-2023 FSC-klagomål mail.docx", "S 667-2023")</f>
        <v/>
      </c>
      <c r="AA2">
        <f>HYPERLINK("https://klasma.github.io/Logging_1764/tillsyn/S 667-2023 tillsynsbegäran.docx", "S 667-2023")</f>
        <v/>
      </c>
      <c r="AB2">
        <f>HYPERLINK("https://klasma.github.io/Logging_1764/tillsynsmail/S 667-2023 tillsynsbegäran mail.docx", "S 667-2023")</f>
        <v/>
      </c>
      <c r="AC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Y3">
        <f>HYPERLINK("https://klasma.github.io/Logging_1764/klagomål/S 485-2024 FSC-klagomål.docx", "S 485-2024")</f>
        <v/>
      </c>
      <c r="Z3">
        <f>HYPERLINK("https://klasma.github.io/Logging_1764/klagomålsmail/S 485-2024 FSC-klagomål mail.docx", "S 485-2024")</f>
        <v/>
      </c>
      <c r="AA3">
        <f>HYPERLINK("https://klasma.github.io/Logging_1764/tillsyn/S 485-2024 tillsynsbegäran.docx", "S 485-2024")</f>
        <v/>
      </c>
      <c r="AB3">
        <f>HYPERLINK("https://klasma.github.io/Logging_1764/tillsynsmail/S 485-2024 tillsynsbegäran mail.docx", "S 485-2024")</f>
        <v/>
      </c>
      <c r="AC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46222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Y4">
        <f>HYPERLINK("https://klasma.github.io/Logging_1764/klagomål/A 39819-2021 FSC-klagomål.docx", "A 39819-2021")</f>
        <v/>
      </c>
      <c r="Z4">
        <f>HYPERLINK("https://klasma.github.io/Logging_1764/klagomålsmail/A 39819-2021 FSC-klagomål mail.docx", "A 39819-2021")</f>
        <v/>
      </c>
      <c r="AA4">
        <f>HYPERLINK("https://klasma.github.io/Logging_1764/tillsyn/A 39819-2021 tillsynsbegäran.docx", "A 39819-2021")</f>
        <v/>
      </c>
      <c r="AB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46222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Y5">
        <f>HYPERLINK("https://klasma.github.io/Logging_1764/klagomål/A 33391-2022 FSC-klagomål.docx", "A 33391-2022")</f>
        <v/>
      </c>
      <c r="Z5">
        <f>HYPERLINK("https://klasma.github.io/Logging_1764/klagomålsmail/A 33391-2022 FSC-klagomål mail.docx", "A 33391-2022")</f>
        <v/>
      </c>
      <c r="AA5">
        <f>HYPERLINK("https://klasma.github.io/Logging_1764/tillsyn/A 33391-2022 tillsynsbegäran.docx", "A 33391-2022")</f>
        <v/>
      </c>
      <c r="AB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46222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Y6">
        <f>HYPERLINK("https://klasma.github.io/Logging_1764/klagomål/A 909-2025 FSC-klagomål.docx", "A 909-2025")</f>
        <v/>
      </c>
      <c r="Z6">
        <f>HYPERLINK("https://klasma.github.io/Logging_1764/klagomålsmail/A 909-2025 FSC-klagomål mail.docx", "A 909-2025")</f>
        <v/>
      </c>
      <c r="AA6">
        <f>HYPERLINK("https://klasma.github.io/Logging_1764/tillsyn/A 909-2025 tillsynsbegäran.docx", "A 909-2025")</f>
        <v/>
      </c>
      <c r="AB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46222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s="2" t="inlineStr">
        <is>
          <t>Talltagel
Tallticka
Vanlig snok</t>
        </is>
      </c>
      <c r="V7">
        <f>HYPERLINK("https://klasma.github.io/Logging_1764/artfynd/A 61327-2021 artfynd.xlsx", "A 61327-2021")</f>
        <v/>
      </c>
      <c r="W7">
        <f>HYPERLINK("https://klasma.github.io/Logging_1764/kartor/A 61327-2021 karta.png", "A 61327-2021")</f>
        <v/>
      </c>
      <c r="Y7">
        <f>HYPERLINK("https://klasma.github.io/Logging_1764/klagomål/A 61327-2021 FSC-klagomål.docx", "A 61327-2021")</f>
        <v/>
      </c>
      <c r="Z7">
        <f>HYPERLINK("https://klasma.github.io/Logging_1764/klagomålsmail/A 61327-2021 FSC-klagomål mail.docx", "A 61327-2021")</f>
        <v/>
      </c>
      <c r="AA7">
        <f>HYPERLINK("https://klasma.github.io/Logging_1764/tillsyn/A 61327-2021 tillsynsbegäran.docx", "A 61327-2021")</f>
        <v/>
      </c>
      <c r="AB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46222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Spillkråka
Tjäder
Orre</t>
        </is>
      </c>
      <c r="V8">
        <f>HYPERLINK("https://klasma.github.io/Logging_1764/artfynd/A 40441-2022 artfynd.xlsx", "A 40441-2022")</f>
        <v/>
      </c>
      <c r="W8">
        <f>HYPERLINK("https://klasma.github.io/Logging_1764/kartor/A 40441-2022 karta.png", "A 40441-2022")</f>
        <v/>
      </c>
      <c r="Y8">
        <f>HYPERLINK("https://klasma.github.io/Logging_1764/klagomål/A 40441-2022 FSC-klagomål.docx", "A 40441-2022")</f>
        <v/>
      </c>
      <c r="Z8">
        <f>HYPERLINK("https://klasma.github.io/Logging_1764/klagomålsmail/A 40441-2022 FSC-klagomål mail.docx", "A 40441-2022")</f>
        <v/>
      </c>
      <c r="AA8">
        <f>HYPERLINK("https://klasma.github.io/Logging_1764/tillsyn/A 40441-2022 tillsynsbegäran.docx", "A 40441-2022")</f>
        <v/>
      </c>
      <c r="AB8">
        <f>HYPERLINK("https://klasma.github.io/Logging_1764/tillsynsmail/A 40441-2022 tillsynsbegäran mail.docx", "A 40441-2022")</f>
        <v/>
      </c>
      <c r="AC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46222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Y9">
        <f>HYPERLINK("https://klasma.github.io/Logging_1764/klagomål/A 53755-2024 FSC-klagomål.docx", "A 53755-2024")</f>
        <v/>
      </c>
      <c r="Z9">
        <f>HYPERLINK("https://klasma.github.io/Logging_1764/klagomålsmail/A 53755-2024 FSC-klagomål mail.docx", "A 53755-2024")</f>
        <v/>
      </c>
      <c r="AA9">
        <f>HYPERLINK("https://klasma.github.io/Logging_1764/tillsyn/A 53755-2024 tillsynsbegäran.docx", "A 53755-2024")</f>
        <v/>
      </c>
      <c r="AB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HYPERLINK("https://klasma.github.io/Logging_1764/knärot/S 755-2023 karta knärot.png", "S 755-2023")</f>
        <v/>
      </c>
      <c r="Y10">
        <f>HYPERLINK("https://klasma.github.io/Logging_1764/klagomål/S 755-2023 FSC-klagomål.docx", "S 755-2023")</f>
        <v/>
      </c>
      <c r="Z10">
        <f>HYPERLINK("https://klasma.github.io/Logging_1764/klagomålsmail/S 755-2023 FSC-klagomål mail.docx", "S 755-2023")</f>
        <v/>
      </c>
      <c r="AA10">
        <f>HYPERLINK("https://klasma.github.io/Logging_1764/tillsyn/S 755-2023 tillsynsbegäran.docx", "S 755-2023")</f>
        <v/>
      </c>
      <c r="AB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Y11">
        <f>HYPERLINK("https://klasma.github.io/Logging_1764/klagomål/S 2217-2023 FSC-klagomål.docx", "S 2217-2023")</f>
        <v/>
      </c>
      <c r="Z11">
        <f>HYPERLINK("https://klasma.github.io/Logging_1764/klagomålsmail/S 2217-2023 FSC-klagomål mail.docx", "S 2217-2023")</f>
        <v/>
      </c>
      <c r="AA11">
        <f>HYPERLINK("https://klasma.github.io/Logging_1764/tillsyn/S 2217-2023 tillsynsbegäran.docx", "S 2217-2023")</f>
        <v/>
      </c>
      <c r="AB11">
        <f>HYPERLINK("https://klasma.github.io/Logging_1764/tillsynsmail/S 2217-2023 tillsynsbegäran mail.docx", "S 2217-2023")</f>
        <v/>
      </c>
      <c r="AC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Violmussling
Tofsmes</t>
        </is>
      </c>
      <c r="V12">
        <f>HYPERLINK("https://klasma.github.io/Logging_1764/artfynd/A 41113-2025 artfynd.xlsx", "A 41113-2025")</f>
        <v/>
      </c>
      <c r="W12">
        <f>HYPERLINK("https://klasma.github.io/Logging_1764/kartor/A 41113-2025 karta.png", "A 41113-2025")</f>
        <v/>
      </c>
      <c r="Y12">
        <f>HYPERLINK("https://klasma.github.io/Logging_1764/klagomål/A 41113-2025 FSC-klagomål.docx", "A 41113-2025")</f>
        <v/>
      </c>
      <c r="Z12">
        <f>HYPERLINK("https://klasma.github.io/Logging_1764/klagomålsmail/A 41113-2025 FSC-klagomål mail.docx", "A 41113-2025")</f>
        <v/>
      </c>
      <c r="AA12">
        <f>HYPERLINK("https://klasma.github.io/Logging_1764/tillsyn/A 41113-2025 tillsynsbegäran.docx", "A 41113-2025")</f>
        <v/>
      </c>
      <c r="AB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Gulsparv</t>
        </is>
      </c>
      <c r="V13">
        <f>HYPERLINK("https://klasma.github.io/Logging_1764/artfynd/A 23860-2023 artfynd.xlsx", "A 23860-2023")</f>
        <v/>
      </c>
      <c r="W13">
        <f>HYPERLINK("https://klasma.github.io/Logging_1764/kartor/A 23860-2023 karta.png", "A 23860-2023")</f>
        <v/>
      </c>
      <c r="Y13">
        <f>HYPERLINK("https://klasma.github.io/Logging_1764/klagomål/A 23860-2023 FSC-klagomål.docx", "A 23860-2023")</f>
        <v/>
      </c>
      <c r="Z13">
        <f>HYPERLINK("https://klasma.github.io/Logging_1764/klagomålsmail/A 23860-2023 FSC-klagomål mail.docx", "A 23860-2023")</f>
        <v/>
      </c>
      <c r="AA13">
        <f>HYPERLINK("https://klasma.github.io/Logging_1764/tillsyn/A 23860-2023 tillsynsbegäran.docx", "A 23860-2023")</f>
        <v/>
      </c>
      <c r="AB13">
        <f>HYPERLINK("https://klasma.github.io/Logging_1764/tillsynsmail/A 23860-2023 tillsynsbegäran mail.docx", "A 23860-2023")</f>
        <v/>
      </c>
      <c r="AC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46222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s="2" t="inlineStr">
        <is>
          <t>Björksplintborre
Bronshjon</t>
        </is>
      </c>
      <c r="V14">
        <f>HYPERLINK("https://klasma.github.io/Logging_1764/artfynd/A 66053-2021 artfynd.xlsx", "A 66053-2021")</f>
        <v/>
      </c>
      <c r="W14">
        <f>HYPERLINK("https://klasma.github.io/Logging_1764/kartor/A 66053-2021 karta.png", "A 66053-2021")</f>
        <v/>
      </c>
      <c r="Y14">
        <f>HYPERLINK("https://klasma.github.io/Logging_1764/klagomål/A 66053-2021 FSC-klagomål.docx", "A 66053-2021")</f>
        <v/>
      </c>
      <c r="Z14">
        <f>HYPERLINK("https://klasma.github.io/Logging_1764/klagomålsmail/A 66053-2021 FSC-klagomål mail.docx", "A 66053-2021")</f>
        <v/>
      </c>
      <c r="AA14">
        <f>HYPERLINK("https://klasma.github.io/Logging_1764/tillsyn/A 66053-2021 tillsynsbegäran.docx", "A 66053-2021")</f>
        <v/>
      </c>
      <c r="AB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46222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s="2" t="inlineStr">
        <is>
          <t>Ask
Tjäder</t>
        </is>
      </c>
      <c r="V15">
        <f>HYPERLINK("https://klasma.github.io/Logging_1764/artfynd/A 5280-2022 artfynd.xlsx", "A 5280-2022")</f>
        <v/>
      </c>
      <c r="W15">
        <f>HYPERLINK("https://klasma.github.io/Logging_1764/kartor/A 5280-2022 karta.png", "A 5280-2022")</f>
        <v/>
      </c>
      <c r="Y15">
        <f>HYPERLINK("https://klasma.github.io/Logging_1764/klagomål/A 5280-2022 FSC-klagomål.docx", "A 5280-2022")</f>
        <v/>
      </c>
      <c r="Z15">
        <f>HYPERLINK("https://klasma.github.io/Logging_1764/klagomålsmail/A 5280-2022 FSC-klagomål mail.docx", "A 5280-2022")</f>
        <v/>
      </c>
      <c r="AA15">
        <f>HYPERLINK("https://klasma.github.io/Logging_1764/tillsyn/A 5280-2022 tillsynsbegäran.docx", "A 5280-2022")</f>
        <v/>
      </c>
      <c r="AB15">
        <f>HYPERLINK("https://klasma.github.io/Logging_1764/tillsynsmail/A 5280-2022 tillsynsbegäran mail.docx", "A 5280-2022")</f>
        <v/>
      </c>
      <c r="AC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46222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Fläcknycklar</t>
        </is>
      </c>
      <c r="V16">
        <f>HYPERLINK("https://klasma.github.io/Logging_1764/artfynd/A 54042-2021 artfynd.xlsx", "A 54042-2021")</f>
        <v/>
      </c>
      <c r="W16">
        <f>HYPERLINK("https://klasma.github.io/Logging_1764/kartor/A 54042-2021 karta.png", "A 54042-2021")</f>
        <v/>
      </c>
      <c r="Y16">
        <f>HYPERLINK("https://klasma.github.io/Logging_1764/klagomål/A 54042-2021 FSC-klagomål.docx", "A 54042-2021")</f>
        <v/>
      </c>
      <c r="Z16">
        <f>HYPERLINK("https://klasma.github.io/Logging_1764/klagomålsmail/A 54042-2021 FSC-klagomål mail.docx", "A 54042-2021")</f>
        <v/>
      </c>
      <c r="AA16">
        <f>HYPERLINK("https://klasma.github.io/Logging_1764/tillsyn/A 54042-2021 tillsynsbegäran.docx", "A 54042-2021")</f>
        <v/>
      </c>
      <c r="AB16">
        <f>HYPERLINK("https://klasma.github.io/Logging_1764/tillsynsmail/A 54042-2021 tillsynsbegäran mail.docx", "A 54042-2021")</f>
        <v/>
      </c>
      <c r="AC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46222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Vågfibbla
Rönnfibbla</t>
        </is>
      </c>
      <c r="V17">
        <f>HYPERLINK("https://klasma.github.io/Logging_1764/artfynd/A 56386-2022 artfynd.xlsx", "A 56386-2022")</f>
        <v/>
      </c>
      <c r="W17">
        <f>HYPERLINK("https://klasma.github.io/Logging_1764/kartor/A 56386-2022 karta.png", "A 56386-2022")</f>
        <v/>
      </c>
      <c r="Y17">
        <f>HYPERLINK("https://klasma.github.io/Logging_1764/klagomål/A 56386-2022 FSC-klagomål.docx", "A 56386-2022")</f>
        <v/>
      </c>
      <c r="Z17">
        <f>HYPERLINK("https://klasma.github.io/Logging_1764/klagomålsmail/A 56386-2022 FSC-klagomål mail.docx", "A 56386-2022")</f>
        <v/>
      </c>
      <c r="AA17">
        <f>HYPERLINK("https://klasma.github.io/Logging_1764/tillsyn/A 56386-2022 tillsynsbegäran.docx", "A 56386-2022")</f>
        <v/>
      </c>
      <c r="AB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46222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s="2" t="inlineStr">
        <is>
          <t>Jungfrulin
Skogsklocka</t>
        </is>
      </c>
      <c r="V18">
        <f>HYPERLINK("https://klasma.github.io/Logging_1764/artfynd/A 57233-2023 artfynd.xlsx", "A 57233-2023")</f>
        <v/>
      </c>
      <c r="W18">
        <f>HYPERLINK("https://klasma.github.io/Logging_1764/kartor/A 57233-2023 karta.png", "A 57233-2023")</f>
        <v/>
      </c>
      <c r="Y18">
        <f>HYPERLINK("https://klasma.github.io/Logging_1764/klagomål/A 57233-2023 FSC-klagomål.docx", "A 57233-2023")</f>
        <v/>
      </c>
      <c r="Z18">
        <f>HYPERLINK("https://klasma.github.io/Logging_1764/klagomålsmail/A 57233-2023 FSC-klagomål mail.docx", "A 57233-2023")</f>
        <v/>
      </c>
      <c r="AA18">
        <f>HYPERLINK("https://klasma.github.io/Logging_1764/tillsyn/A 57233-2023 tillsynsbegäran.docx", "A 57233-2023")</f>
        <v/>
      </c>
      <c r="AB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46222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Y19">
        <f>HYPERLINK("https://klasma.github.io/Logging_1764/klagomål/S 2219-2023 FSC-klagomål.docx", "S 2219-2023")</f>
        <v/>
      </c>
      <c r="Z19">
        <f>HYPERLINK("https://klasma.github.io/Logging_1764/klagomålsmail/S 2219-2023 FSC-klagomål mail.docx", "S 2219-2023")</f>
        <v/>
      </c>
      <c r="AA19">
        <f>HYPERLINK("https://klasma.github.io/Logging_1764/tillsyn/S 2219-2023 tillsynsbegäran.docx", "S 2219-2023")</f>
        <v/>
      </c>
      <c r="AB19">
        <f>HYPERLINK("https://klasma.github.io/Logging_1764/tillsynsmail/S 2219-2023 tillsynsbegäran mail.docx", "S 2219-2023")</f>
        <v/>
      </c>
      <c r="AC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Y20">
        <f>HYPERLINK("https://klasma.github.io/Logging_1764/klagomål/S 6993-2022 FSC-klagomål.docx", "S 6993-2022")</f>
        <v/>
      </c>
      <c r="Z20">
        <f>HYPERLINK("https://klasma.github.io/Logging_1764/klagomålsmail/S 6993-2022 FSC-klagomål mail.docx", "S 6993-2022")</f>
        <v/>
      </c>
      <c r="AA20">
        <f>HYPERLINK("https://klasma.github.io/Logging_1764/tillsyn/S 6993-2022 tillsynsbegäran.docx", "S 6993-2022")</f>
        <v/>
      </c>
      <c r="AB20">
        <f>HYPERLINK("https://klasma.github.io/Logging_1764/tillsynsmail/S 6993-2022 tillsynsbegäran mail.docx", "S 6993-2022")</f>
        <v/>
      </c>
      <c r="AC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46222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Y21">
        <f>HYPERLINK("https://klasma.github.io/Logging_1764/klagomål/A 59760-2021 FSC-klagomål.docx", "A 59760-2021")</f>
        <v/>
      </c>
      <c r="Z21">
        <f>HYPERLINK("https://klasma.github.io/Logging_1764/klagomålsmail/A 59760-2021 FSC-klagomål mail.docx", "A 59760-2021")</f>
        <v/>
      </c>
      <c r="AA21">
        <f>HYPERLINK("https://klasma.github.io/Logging_1764/tillsyn/A 59760-2021 tillsynsbegäran.docx", "A 59760-2021")</f>
        <v/>
      </c>
      <c r="AB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46222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Y22">
        <f>HYPERLINK("https://klasma.github.io/Logging_1764/klagomål/A 4178-2022 FSC-klagomål.docx", "A 4178-2022")</f>
        <v/>
      </c>
      <c r="Z22">
        <f>HYPERLINK("https://klasma.github.io/Logging_1764/klagomålsmail/A 4178-2022 FSC-klagomål mail.docx", "A 4178-2022")</f>
        <v/>
      </c>
      <c r="AA22">
        <f>HYPERLINK("https://klasma.github.io/Logging_1764/tillsyn/A 4178-2022 tillsynsbegäran.docx", "A 4178-2022")</f>
        <v/>
      </c>
      <c r="AB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46222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Y23">
        <f>HYPERLINK("https://klasma.github.io/Logging_1764/klagomål/A 54073-2021 FSC-klagomål.docx", "A 54073-2021")</f>
        <v/>
      </c>
      <c r="Z23">
        <f>HYPERLINK("https://klasma.github.io/Logging_1764/klagomålsmail/A 54073-2021 FSC-klagomål mail.docx", "A 54073-2021")</f>
        <v/>
      </c>
      <c r="AA23">
        <f>HYPERLINK("https://klasma.github.io/Logging_1764/tillsyn/A 54073-2021 tillsynsbegäran.docx", "A 54073-2021")</f>
        <v/>
      </c>
      <c r="AB23">
        <f>HYPERLINK("https://klasma.github.io/Logging_1764/tillsynsmail/A 54073-2021 tillsynsbegäran mail.docx", "A 54073-2021")</f>
        <v/>
      </c>
      <c r="AC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46222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Y24">
        <f>HYPERLINK("https://klasma.github.io/Logging_1764/klagomål/A 34357-2022 FSC-klagomål.docx", "A 34357-2022")</f>
        <v/>
      </c>
      <c r="Z24">
        <f>HYPERLINK("https://klasma.github.io/Logging_1764/klagomålsmail/A 34357-2022 FSC-klagomål mail.docx", "A 34357-2022")</f>
        <v/>
      </c>
      <c r="AA24">
        <f>HYPERLINK("https://klasma.github.io/Logging_1764/tillsyn/A 34357-2022 tillsynsbegäran.docx", "A 34357-2022")</f>
        <v/>
      </c>
      <c r="AB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46222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Skogsklocka</t>
        </is>
      </c>
      <c r="V25">
        <f>HYPERLINK("https://klasma.github.io/Logging_1764/artfynd/A 37339-2022 artfynd.xlsx", "A 37339-2022")</f>
        <v/>
      </c>
      <c r="W25">
        <f>HYPERLINK("https://klasma.github.io/Logging_1764/kartor/A 37339-2022 karta.png", "A 37339-2022")</f>
        <v/>
      </c>
      <c r="Y25">
        <f>HYPERLINK("https://klasma.github.io/Logging_1764/klagomål/A 37339-2022 FSC-klagomål.docx", "A 37339-2022")</f>
        <v/>
      </c>
      <c r="Z25">
        <f>HYPERLINK("https://klasma.github.io/Logging_1764/klagomålsmail/A 37339-2022 FSC-klagomål mail.docx", "A 37339-2022")</f>
        <v/>
      </c>
      <c r="AA25">
        <f>HYPERLINK("https://klasma.github.io/Logging_1764/tillsyn/A 37339-2022 tillsynsbegäran.docx", "A 37339-2022")</f>
        <v/>
      </c>
      <c r="AB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46222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Kråka</t>
        </is>
      </c>
      <c r="V26">
        <f>HYPERLINK("https://klasma.github.io/Logging_1764/artfynd/A 10647-2024 artfynd.xlsx", "A 10647-2024")</f>
        <v/>
      </c>
      <c r="W26">
        <f>HYPERLINK("https://klasma.github.io/Logging_1764/kartor/A 10647-2024 karta.png", "A 10647-2024")</f>
        <v/>
      </c>
      <c r="Y26">
        <f>HYPERLINK("https://klasma.github.io/Logging_1764/klagomål/A 10647-2024 FSC-klagomål.docx", "A 10647-2024")</f>
        <v/>
      </c>
      <c r="Z26">
        <f>HYPERLINK("https://klasma.github.io/Logging_1764/klagomålsmail/A 10647-2024 FSC-klagomål mail.docx", "A 10647-2024")</f>
        <v/>
      </c>
      <c r="AA26">
        <f>HYPERLINK("https://klasma.github.io/Logging_1764/tillsyn/A 10647-2024 tillsynsbegäran.docx", "A 10647-2024")</f>
        <v/>
      </c>
      <c r="AB26">
        <f>HYPERLINK("https://klasma.github.io/Logging_1764/tillsynsmail/A 10647-2024 tillsynsbegäran mail.docx", "A 10647-2024")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46222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Göktyta</t>
        </is>
      </c>
      <c r="V27">
        <f>HYPERLINK("https://klasma.github.io/Logging_1764/artfynd/A 41878-2024 artfynd.xlsx", "A 41878-2024")</f>
        <v/>
      </c>
      <c r="W27">
        <f>HYPERLINK("https://klasma.github.io/Logging_1764/kartor/A 41878-2024 karta.png", "A 41878-2024")</f>
        <v/>
      </c>
      <c r="Y27">
        <f>HYPERLINK("https://klasma.github.io/Logging_1764/klagomål/A 41878-2024 FSC-klagomål.docx", "A 41878-2024")</f>
        <v/>
      </c>
      <c r="Z27">
        <f>HYPERLINK("https://klasma.github.io/Logging_1764/klagomålsmail/A 41878-2024 FSC-klagomål mail.docx", "A 41878-2024")</f>
        <v/>
      </c>
      <c r="AA27">
        <f>HYPERLINK("https://klasma.github.io/Logging_1764/tillsyn/A 41878-2024 tillsynsbegäran.docx", "A 41878-2024")</f>
        <v/>
      </c>
      <c r="AB27">
        <f>HYPERLINK("https://klasma.github.io/Logging_1764/tillsynsmail/A 41878-2024 tillsynsbegäran mail.docx", "A 41878-2024")</f>
        <v/>
      </c>
      <c r="AC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46222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Skogsklocka</t>
        </is>
      </c>
      <c r="V28">
        <f>HYPERLINK("https://klasma.github.io/Logging_1764/artfynd/A 17122-2024 artfynd.xlsx", "A 17122-2024")</f>
        <v/>
      </c>
      <c r="W28">
        <f>HYPERLINK("https://klasma.github.io/Logging_1764/kartor/A 17122-2024 karta.png", "A 17122-2024")</f>
        <v/>
      </c>
      <c r="Y28">
        <f>HYPERLINK("https://klasma.github.io/Logging_1764/klagomål/A 17122-2024 FSC-klagomål.docx", "A 17122-2024")</f>
        <v/>
      </c>
      <c r="Z28">
        <f>HYPERLINK("https://klasma.github.io/Logging_1764/klagomålsmail/A 17122-2024 FSC-klagomål mail.docx", "A 17122-2024")</f>
        <v/>
      </c>
      <c r="AA28">
        <f>HYPERLINK("https://klasma.github.io/Logging_1764/tillsyn/A 17122-2024 tillsynsbegäran.docx", "A 17122-2024")</f>
        <v/>
      </c>
      <c r="AB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46222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Sädesärla</t>
        </is>
      </c>
      <c r="V29">
        <f>HYPERLINK("https://klasma.github.io/Logging_1764/artfynd/A 19524-2024 artfynd.xlsx", "A 19524-2024")</f>
        <v/>
      </c>
      <c r="W29">
        <f>HYPERLINK("https://klasma.github.io/Logging_1764/kartor/A 19524-2024 karta.png", "A 19524-2024")</f>
        <v/>
      </c>
      <c r="Y29">
        <f>HYPERLINK("https://klasma.github.io/Logging_1764/klagomål/A 19524-2024 FSC-klagomål.docx", "A 19524-2024")</f>
        <v/>
      </c>
      <c r="Z29">
        <f>HYPERLINK("https://klasma.github.io/Logging_1764/klagomålsmail/A 19524-2024 FSC-klagomål mail.docx", "A 19524-2024")</f>
        <v/>
      </c>
      <c r="AA29">
        <f>HYPERLINK("https://klasma.github.io/Logging_1764/tillsyn/A 19524-2024 tillsynsbegäran.docx", "A 19524-2024")</f>
        <v/>
      </c>
      <c r="AB29">
        <f>HYPERLINK("https://klasma.github.io/Logging_1764/tillsynsmail/A 19524-2024 tillsynsbegäran mail.docx", "A 19524-2024")</f>
        <v/>
      </c>
      <c r="AC29">
        <f>HYPERLINK("https://klasma.github.io/Logging_1764/fåglar/A 19524-2024 prioriterade fågelarter.docx", "A 19524-2024")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46222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HYPERLINK("https://klasma.github.io/Logging_1764/artfynd/A 47146-2025 artfynd.xlsx", "A 47146-2025")</f>
        <v/>
      </c>
      <c r="W30">
        <f>HYPERLINK("https://klasma.github.io/Logging_1764/kartor/A 47146-2025 karta.png", "A 47146-2025")</f>
        <v/>
      </c>
      <c r="Y30">
        <f>HYPERLINK("https://klasma.github.io/Logging_1764/klagomål/A 47146-2025 FSC-klagomål.docx", "A 47146-2025")</f>
        <v/>
      </c>
      <c r="Z30">
        <f>HYPERLINK("https://klasma.github.io/Logging_1764/klagomålsmail/A 47146-2025 FSC-klagomål mail.docx", "A 47146-2025")</f>
        <v/>
      </c>
      <c r="AA30">
        <f>HYPERLINK("https://klasma.github.io/Logging_1764/tillsyn/A 47146-2025 tillsynsbegäran.docx", "A 47146-2025")</f>
        <v/>
      </c>
      <c r="AB30">
        <f>HYPERLINK("https://klasma.github.io/Logging_1764/tillsynsmail/A 47146-2025 tillsynsbegäran mail.docx", "A 47146-2025")</f>
        <v/>
      </c>
      <c r="AC30">
        <f>HYPERLINK("https://klasma.github.io/Logging_1764/fåglar/A 47146-2025 prioriterade fågelarter.docx", "A 47146-2025")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46222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Vätteros</t>
        </is>
      </c>
      <c r="V31">
        <f>HYPERLINK("https://klasma.github.io/Logging_1764/artfynd/A 15321-2023 artfynd.xlsx", "A 15321-2023")</f>
        <v/>
      </c>
      <c r="W31">
        <f>HYPERLINK("https://klasma.github.io/Logging_1764/kartor/A 15321-2023 karta.png", "A 15321-2023")</f>
        <v/>
      </c>
      <c r="Y31">
        <f>HYPERLINK("https://klasma.github.io/Logging_1764/klagomål/A 15321-2023 FSC-klagomål.docx", "A 15321-2023")</f>
        <v/>
      </c>
      <c r="Z31">
        <f>HYPERLINK("https://klasma.github.io/Logging_1764/klagomålsmail/A 15321-2023 FSC-klagomål mail.docx", "A 15321-2023")</f>
        <v/>
      </c>
      <c r="AA31">
        <f>HYPERLINK("https://klasma.github.io/Logging_1764/tillsyn/A 15321-2023 tillsynsbegäran.docx", "A 15321-2023")</f>
        <v/>
      </c>
      <c r="AB31">
        <f>HYPERLINK("https://klasma.github.io/Logging_1764/tillsynsmail/A 15321-2023 tillsynsbegäran mail.docx", "A 15321-2023")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46222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HYPERLINK("https://klasma.github.io/Logging_1764/artfynd/A 13121-2023 artfynd.xlsx", "A 13121-2023")</f>
        <v/>
      </c>
      <c r="W32">
        <f>HYPERLINK("https://klasma.github.io/Logging_1764/kartor/A 13121-2023 karta.png", "A 13121-2023")</f>
        <v/>
      </c>
      <c r="Y32">
        <f>HYPERLINK("https://klasma.github.io/Logging_1764/klagomål/A 13121-2023 FSC-klagomål.docx", "A 13121-2023")</f>
        <v/>
      </c>
      <c r="Z32">
        <f>HYPERLINK("https://klasma.github.io/Logging_1764/klagomålsmail/A 13121-2023 FSC-klagomål mail.docx", "A 13121-2023")</f>
        <v/>
      </c>
      <c r="AA32">
        <f>HYPERLINK("https://klasma.github.io/Logging_1764/tillsyn/A 13121-2023 tillsynsbegäran.docx", "A 13121-2023")</f>
        <v/>
      </c>
      <c r="AB32">
        <f>HYPERLINK("https://klasma.github.io/Logging_1764/tillsynsmail/A 13121-2023 tillsynsbegäran mail.docx", "A 13121-2023")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46222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Skogsklocka</t>
        </is>
      </c>
      <c r="V33">
        <f>HYPERLINK("https://klasma.github.io/Logging_1764/artfynd/A 12296-2026 artfynd.xlsx", "A 12296-2026")</f>
        <v/>
      </c>
      <c r="W33">
        <f>HYPERLINK("https://klasma.github.io/Logging_1764/kartor/A 12296-2026 karta.png", "A 12296-2026")</f>
        <v/>
      </c>
      <c r="Y33">
        <f>HYPERLINK("https://klasma.github.io/Logging_1764/klagomål/A 12296-2026 FSC-klagomål.docx", "A 12296-2026")</f>
        <v/>
      </c>
      <c r="Z33">
        <f>HYPERLINK("https://klasma.github.io/Logging_1764/klagomålsmail/A 12296-2026 FSC-klagomål mail.docx", "A 12296-2026")</f>
        <v/>
      </c>
      <c r="AA33">
        <f>HYPERLINK("https://klasma.github.io/Logging_1764/tillsyn/A 12296-2026 tillsynsbegäran.docx", "A 12296-2026")</f>
        <v/>
      </c>
      <c r="AB33">
        <f>HYPERLINK("https://klasma.github.io/Logging_1764/tillsynsmail/A 12296-2026 tillsynsbegäran mail.docx", "A 12296-2026")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46222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HYPERLINK("https://klasma.github.io/Logging_1764/artfynd/A 30411-2025 artfynd.xlsx", "A 30411-2025")</f>
        <v/>
      </c>
      <c r="W34">
        <f>HYPERLINK("https://klasma.github.io/Logging_1764/kartor/A 30411-2025 karta.png", "A 30411-2025")</f>
        <v/>
      </c>
      <c r="Y34">
        <f>HYPERLINK("https://klasma.github.io/Logging_1764/klagomål/A 30411-2025 FSC-klagomål.docx", "A 30411-2025")</f>
        <v/>
      </c>
      <c r="Z34">
        <f>HYPERLINK("https://klasma.github.io/Logging_1764/klagomålsmail/A 30411-2025 FSC-klagomål mail.docx", "A 30411-2025")</f>
        <v/>
      </c>
      <c r="AA34">
        <f>HYPERLINK("https://klasma.github.io/Logging_1764/tillsyn/A 30411-2025 tillsynsbegäran.docx", "A 30411-2025")</f>
        <v/>
      </c>
      <c r="AB34">
        <f>HYPERLINK("https://klasma.github.io/Logging_1764/tillsynsmail/A 30411-2025 tillsynsbegäran mail.docx", "A 30411-2025")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46222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Mandelriska</t>
        </is>
      </c>
      <c r="V35">
        <f>HYPERLINK("https://klasma.github.io/Logging_1764/artfynd/A 8363-2025 artfynd.xlsx", "A 8363-2025")</f>
        <v/>
      </c>
      <c r="W35">
        <f>HYPERLINK("https://klasma.github.io/Logging_1764/kartor/A 8363-2025 karta.png", "A 8363-2025")</f>
        <v/>
      </c>
      <c r="Y35">
        <f>HYPERLINK("https://klasma.github.io/Logging_1764/klagomål/A 8363-2025 FSC-klagomål.docx", "A 8363-2025")</f>
        <v/>
      </c>
      <c r="Z35">
        <f>HYPERLINK("https://klasma.github.io/Logging_1764/klagomålsmail/A 8363-2025 FSC-klagomål mail.docx", "A 8363-2025")</f>
        <v/>
      </c>
      <c r="AA35">
        <f>HYPERLINK("https://klasma.github.io/Logging_1764/tillsyn/A 8363-2025 tillsynsbegäran.docx", "A 8363-2025")</f>
        <v/>
      </c>
      <c r="AB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46222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HYPERLINK("https://klasma.github.io/Logging_1764/artfynd/A 35077-2024 artfynd.xlsx", "A 35077-2024")</f>
        <v/>
      </c>
      <c r="W36">
        <f>HYPERLINK("https://klasma.github.io/Logging_1764/kartor/A 35077-2024 karta.png", "A 35077-2024")</f>
        <v/>
      </c>
      <c r="X36">
        <f>HYPERLINK("https://klasma.github.io/Logging_1764/knärot/A 35077-2024 karta knärot.png", "A 35077-2024")</f>
        <v/>
      </c>
      <c r="Y36">
        <f>HYPERLINK("https://klasma.github.io/Logging_1764/klagomål/A 35077-2024 FSC-klagomål.docx", "A 35077-2024")</f>
        <v/>
      </c>
      <c r="Z36">
        <f>HYPERLINK("https://klasma.github.io/Logging_1764/klagomålsmail/A 35077-2024 FSC-klagomål mail.docx", "A 35077-2024")</f>
        <v/>
      </c>
      <c r="AA36">
        <f>HYPERLINK("https://klasma.github.io/Logging_1764/tillsyn/A 35077-2024 tillsynsbegäran.docx", "A 35077-2024")</f>
        <v/>
      </c>
      <c r="AB36">
        <f>HYPERLINK("https://klasma.github.io/Logging_1764/tillsynsmail/A 35077-2024 tillsynsbegäran mail.docx", "A 35077-2024")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46222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HYPERLINK("https://klasma.github.io/Logging_1764/artfynd/A 7931-2025 artfynd.xlsx", "A 7931-2025")</f>
        <v/>
      </c>
      <c r="W37">
        <f>HYPERLINK("https://klasma.github.io/Logging_1764/kartor/A 7931-2025 karta.png", "A 7931-2025")</f>
        <v/>
      </c>
      <c r="Y37">
        <f>HYPERLINK("https://klasma.github.io/Logging_1764/klagomål/A 7931-2025 FSC-klagomål.docx", "A 7931-2025")</f>
        <v/>
      </c>
      <c r="Z37">
        <f>HYPERLINK("https://klasma.github.io/Logging_1764/klagomålsmail/A 7931-2025 FSC-klagomål mail.docx", "A 7931-2025")</f>
        <v/>
      </c>
      <c r="AA37">
        <f>HYPERLINK("https://klasma.github.io/Logging_1764/tillsyn/A 7931-2025 tillsynsbegäran.docx", "A 7931-2025")</f>
        <v/>
      </c>
      <c r="AB37">
        <f>HYPERLINK("https://klasma.github.io/Logging_1764/tillsynsmail/A 7931-2025 tillsynsbegäran mail.docx", "A 7931-2025")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46222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Grön sköldmossa</t>
        </is>
      </c>
      <c r="V38">
        <f>HYPERLINK("https://klasma.github.io/Logging_1764/artfynd/A 29582-2024 artfynd.xlsx", "A 29582-2024")</f>
        <v/>
      </c>
      <c r="W38">
        <f>HYPERLINK("https://klasma.github.io/Logging_1764/kartor/A 29582-2024 karta.png", "A 29582-2024")</f>
        <v/>
      </c>
      <c r="Y38">
        <f>HYPERLINK("https://klasma.github.io/Logging_1764/klagomål/A 29582-2024 FSC-klagomål.docx", "A 29582-2024")</f>
        <v/>
      </c>
      <c r="Z38">
        <f>HYPERLINK("https://klasma.github.io/Logging_1764/klagomålsmail/A 29582-2024 FSC-klagomål mail.docx", "A 29582-2024")</f>
        <v/>
      </c>
      <c r="AA38">
        <f>HYPERLINK("https://klasma.github.io/Logging_1764/tillsyn/A 29582-2024 tillsynsbegäran.docx", "A 29582-2024")</f>
        <v/>
      </c>
      <c r="AB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46222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Svart trolldruva</t>
        </is>
      </c>
      <c r="V39">
        <f>HYPERLINK("https://klasma.github.io/Logging_1764/artfynd/A 62675-2023 artfynd.xlsx", "A 62675-2023")</f>
        <v/>
      </c>
      <c r="W39">
        <f>HYPERLINK("https://klasma.github.io/Logging_1764/kartor/A 62675-2023 karta.png", "A 62675-2023")</f>
        <v/>
      </c>
      <c r="Y39">
        <f>HYPERLINK("https://klasma.github.io/Logging_1764/klagomål/A 62675-2023 FSC-klagomål.docx", "A 62675-2023")</f>
        <v/>
      </c>
      <c r="Z39">
        <f>HYPERLINK("https://klasma.github.io/Logging_1764/klagomålsmail/A 62675-2023 FSC-klagomål mail.docx", "A 62675-2023")</f>
        <v/>
      </c>
      <c r="AA39">
        <f>HYPERLINK("https://klasma.github.io/Logging_1764/tillsyn/A 62675-2023 tillsynsbegäran.docx", "A 62675-2023")</f>
        <v/>
      </c>
      <c r="AB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46222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Fläcknycklar</t>
        </is>
      </c>
      <c r="V40">
        <f>HYPERLINK("https://klasma.github.io/Logging_1764/artfynd/S 7995-2021 artfynd.xlsx", "S 7995-2021")</f>
        <v/>
      </c>
      <c r="W40">
        <f>HYPERLINK("https://klasma.github.io/Logging_1764/kartor/S 7995-2021 karta.png", "S 7995-2021")</f>
        <v/>
      </c>
      <c r="Y40">
        <f>HYPERLINK("https://klasma.github.io/Logging_1764/klagomål/S 7995-2021 FSC-klagomål.docx", "S 7995-2021")</f>
        <v/>
      </c>
      <c r="Z40">
        <f>HYPERLINK("https://klasma.github.io/Logging_1764/klagomålsmail/S 7995-2021 FSC-klagomål mail.docx", "S 7995-2021")</f>
        <v/>
      </c>
      <c r="AA40">
        <f>HYPERLINK("https://klasma.github.io/Logging_1764/tillsyn/S 7995-2021 tillsynsbegäran.docx", "S 7995-2021")</f>
        <v/>
      </c>
      <c r="AB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46222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46222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46222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46222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46222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46222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46222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46222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46222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46222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46222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46222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46222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46222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46222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46222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46222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46222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46222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46222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46222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46222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46222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46222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46222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46222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46222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46222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46222</v>
      </c>
      <c r="F69" t="inlineStr">
        <is>
          <t>VÄRMLANDS LÄN</t>
        </is>
      </c>
      <c r="G69" t="inlineStr">
        <is>
          <t>GRUMS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46222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46222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46222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46222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46222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44577</v>
      </c>
      <c r="E75" s="1" t="n">
        <v>46222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51203-2021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46222</v>
      </c>
      <c r="F76" t="inlineStr">
        <is>
          <t>VÄRMLANDS LÄN</t>
        </is>
      </c>
      <c r="G76" t="inlineStr">
        <is>
          <t>GRUMS</t>
        </is>
      </c>
      <c r="H76" t="inlineStr">
        <is>
          <t>Bergvik skog väst AB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25694-2022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46222</v>
      </c>
      <c r="F77" t="inlineStr">
        <is>
          <t>VÄRMLANDS LÄN</t>
        </is>
      </c>
      <c r="G77" t="inlineStr">
        <is>
          <t>GRUMS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46222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46222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46222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46222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12311-2024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46222</v>
      </c>
      <c r="F82" t="inlineStr">
        <is>
          <t>VÄRMLANDS LÄN</t>
        </is>
      </c>
      <c r="G82" t="inlineStr">
        <is>
          <t>GRUMS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46222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46222</v>
      </c>
      <c r="F84" t="inlineStr">
        <is>
          <t>VÄRMLANDS LÄN</t>
        </is>
      </c>
      <c r="G84" t="inlineStr">
        <is>
          <t>GRUMS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21528-2024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45441</v>
      </c>
      <c r="E85" s="1" t="n">
        <v>46222</v>
      </c>
      <c r="F85" t="inlineStr">
        <is>
          <t>VÄRMLANDS LÄN</t>
        </is>
      </c>
      <c r="G85" t="inlineStr">
        <is>
          <t>GRUMS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19053-2024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46222</v>
      </c>
      <c r="F86" t="inlineStr">
        <is>
          <t>VÄRMLANDS LÄN</t>
        </is>
      </c>
      <c r="G86" t="inlineStr">
        <is>
          <t>GRUMS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46222</v>
      </c>
      <c r="F87" t="inlineStr">
        <is>
          <t>VÄRMLANDS LÄN</t>
        </is>
      </c>
      <c r="G87" t="inlineStr">
        <is>
          <t>GRUMS</t>
        </is>
      </c>
      <c r="I87" t="n">
        <v>13.7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23189-2024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45450</v>
      </c>
      <c r="E88" s="1" t="n">
        <v>46222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46222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46222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28228-2024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46222</v>
      </c>
      <c r="F91" t="inlineStr">
        <is>
          <t>VÄRMLANDS LÄN</t>
        </is>
      </c>
      <c r="G91" t="inlineStr">
        <is>
          <t>GRUMS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45412</v>
      </c>
      <c r="E92" s="1" t="n">
        <v>46222</v>
      </c>
      <c r="F92" t="inlineStr">
        <is>
          <t>VÄRMLANDS LÄN</t>
        </is>
      </c>
      <c r="G92" t="inlineStr">
        <is>
          <t>GRUMS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46222</v>
      </c>
      <c r="F93" t="inlineStr">
        <is>
          <t>VÄRMLANDS LÄN</t>
        </is>
      </c>
      <c r="G93" t="inlineStr">
        <is>
          <t>GRUMS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25014-2024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45461</v>
      </c>
      <c r="E94" s="1" t="n">
        <v>46222</v>
      </c>
      <c r="F94" t="inlineStr">
        <is>
          <t>VÄRMLANDS LÄN</t>
        </is>
      </c>
      <c r="G94" t="inlineStr">
        <is>
          <t>GRUMS</t>
        </is>
      </c>
      <c r="I94" t="n">
        <v>12.8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46222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46222</v>
      </c>
      <c r="F96" t="inlineStr">
        <is>
          <t>VÄRMLANDS LÄN</t>
        </is>
      </c>
      <c r="G96" t="inlineStr">
        <is>
          <t>GRUMS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45467-2022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46222</v>
      </c>
      <c r="F97" t="inlineStr">
        <is>
          <t>VÄRMLANDS LÄN</t>
        </is>
      </c>
      <c r="G97" t="inlineStr">
        <is>
          <t>GRUMS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58705-2024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46222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3054-2026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46039</v>
      </c>
      <c r="E99" s="1" t="n">
        <v>46222</v>
      </c>
      <c r="F99" t="inlineStr">
        <is>
          <t>VÄRMLANDS LÄN</t>
        </is>
      </c>
      <c r="G99" t="inlineStr">
        <is>
          <t>GRUMS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36644-2023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45153</v>
      </c>
      <c r="E100" s="1" t="n">
        <v>46222</v>
      </c>
      <c r="F100" t="inlineStr">
        <is>
          <t>VÄRMLANDS LÄN</t>
        </is>
      </c>
      <c r="G100" t="inlineStr">
        <is>
          <t>GRUMS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46222</v>
      </c>
      <c r="F101" t="inlineStr">
        <is>
          <t>VÄRMLANDS LÄN</t>
        </is>
      </c>
      <c r="G101" t="inlineStr">
        <is>
          <t>GRUMS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27218-2023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46222</v>
      </c>
      <c r="F102" t="inlineStr">
        <is>
          <t>VÄRMLANDS LÄN</t>
        </is>
      </c>
      <c r="G102" t="inlineStr">
        <is>
          <t>GRUMS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62905-2023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46222</v>
      </c>
      <c r="F103" t="inlineStr">
        <is>
          <t>VÄRMLANDS LÄN</t>
        </is>
      </c>
      <c r="G103" t="inlineStr">
        <is>
          <t>GRUMS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45152</v>
      </c>
      <c r="E104" s="1" t="n">
        <v>46222</v>
      </c>
      <c r="F104" t="inlineStr">
        <is>
          <t>VÄRMLANDS LÄN</t>
        </is>
      </c>
      <c r="G104" t="inlineStr">
        <is>
          <t>GRUMS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46222</v>
      </c>
      <c r="F105" t="inlineStr">
        <is>
          <t>VÄRMLANDS LÄN</t>
        </is>
      </c>
      <c r="G105" t="inlineStr">
        <is>
          <t>GRUMS</t>
        </is>
      </c>
      <c r="I105" t="n">
        <v>14.3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10892-2022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46222</v>
      </c>
      <c r="F106" t="inlineStr">
        <is>
          <t>VÄRMLANDS LÄN</t>
        </is>
      </c>
      <c r="G106" t="inlineStr">
        <is>
          <t>GRUMS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17399-2025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46222</v>
      </c>
      <c r="F107" t="inlineStr">
        <is>
          <t>VÄRMLANDS LÄN</t>
        </is>
      </c>
      <c r="G107" t="inlineStr">
        <is>
          <t>GRUMS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31362-2024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45505</v>
      </c>
      <c r="E108" s="1" t="n">
        <v>46222</v>
      </c>
      <c r="F108" t="inlineStr">
        <is>
          <t>VÄRMLANDS LÄN</t>
        </is>
      </c>
      <c r="G108" t="inlineStr">
        <is>
          <t>GRUMS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29260-2025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46222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46222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7991-2024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45350</v>
      </c>
      <c r="E111" s="1" t="n">
        <v>46222</v>
      </c>
      <c r="F111" t="inlineStr">
        <is>
          <t>VÄRMLANDS LÄN</t>
        </is>
      </c>
      <c r="G111" t="inlineStr">
        <is>
          <t>GRUMS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46222</v>
      </c>
      <c r="F112" t="inlineStr">
        <is>
          <t>VÄRMLANDS LÄN</t>
        </is>
      </c>
      <c r="G112" t="inlineStr">
        <is>
          <t>GRUMS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46222</v>
      </c>
      <c r="F113" t="inlineStr">
        <is>
          <t>VÄRMLANDS LÄN</t>
        </is>
      </c>
      <c r="G113" t="inlineStr">
        <is>
          <t>GRUMS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43242-2021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46222</v>
      </c>
      <c r="F114" t="inlineStr">
        <is>
          <t>VÄRMLANDS LÄN</t>
        </is>
      </c>
      <c r="G114" t="inlineStr">
        <is>
          <t>GRUMS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45836</v>
      </c>
      <c r="E115" s="1" t="n">
        <v>46222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44956</v>
      </c>
      <c r="E116" s="1" t="n">
        <v>46222</v>
      </c>
      <c r="F116" t="inlineStr">
        <is>
          <t>VÄRMLANDS LÄN</t>
        </is>
      </c>
      <c r="G116" t="inlineStr">
        <is>
          <t>GRUMS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46222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62947-2023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46222</v>
      </c>
      <c r="F118" t="inlineStr">
        <is>
          <t>VÄRMLANDS LÄN</t>
        </is>
      </c>
      <c r="G118" t="inlineStr">
        <is>
          <t>GRUMS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45812-2025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46222</v>
      </c>
      <c r="F119" t="inlineStr">
        <is>
          <t>VÄRMLANDS LÄN</t>
        </is>
      </c>
      <c r="G119" t="inlineStr">
        <is>
          <t>GRUMS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46222</v>
      </c>
      <c r="F120" t="inlineStr">
        <is>
          <t>VÄRMLANDS LÄN</t>
        </is>
      </c>
      <c r="G120" t="inlineStr">
        <is>
          <t>GRUMS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8359-2025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45708</v>
      </c>
      <c r="E121" s="1" t="n">
        <v>46222</v>
      </c>
      <c r="F121" t="inlineStr">
        <is>
          <t>VÄRMLANDS LÄN</t>
        </is>
      </c>
      <c r="G121" t="inlineStr">
        <is>
          <t>GRUMS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7993-2024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46222</v>
      </c>
      <c r="F122" t="inlineStr">
        <is>
          <t>VÄRMLANDS LÄN</t>
        </is>
      </c>
      <c r="G122" t="inlineStr">
        <is>
          <t>GRUMS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33081-2022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44785</v>
      </c>
      <c r="E123" s="1" t="n">
        <v>46222</v>
      </c>
      <c r="F123" t="inlineStr">
        <is>
          <t>VÄRMLANDS LÄN</t>
        </is>
      </c>
      <c r="G123" t="inlineStr">
        <is>
          <t>GRUMS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35425-2025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46222</v>
      </c>
      <c r="F124" t="inlineStr">
        <is>
          <t>VÄRMLANDS LÄN</t>
        </is>
      </c>
      <c r="G124" t="inlineStr">
        <is>
          <t>GRUMS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46222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29762-2023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46222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29736-2023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45107</v>
      </c>
      <c r="E127" s="1" t="n">
        <v>46222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46222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37517-2025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46222</v>
      </c>
      <c r="F129" t="inlineStr">
        <is>
          <t>VÄRMLANDS LÄN</t>
        </is>
      </c>
      <c r="G129" t="inlineStr">
        <is>
          <t>GRUMS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46222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37495-2025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46222</v>
      </c>
      <c r="F131" t="inlineStr">
        <is>
          <t>VÄRMLANDS LÄN</t>
        </is>
      </c>
      <c r="G131" t="inlineStr">
        <is>
          <t>GRUMS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19052-2024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46222</v>
      </c>
      <c r="F132" t="inlineStr">
        <is>
          <t>VÄRMLANDS LÄN</t>
        </is>
      </c>
      <c r="G132" t="inlineStr">
        <is>
          <t>GRUMS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46222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46222</v>
      </c>
      <c r="F134" t="inlineStr">
        <is>
          <t>VÄRMLANDS LÄN</t>
        </is>
      </c>
      <c r="G134" t="inlineStr">
        <is>
          <t>GRUMS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51509-2025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45950</v>
      </c>
      <c r="E135" s="1" t="n">
        <v>46222</v>
      </c>
      <c r="F135" t="inlineStr">
        <is>
          <t>VÄRMLANDS LÄN</t>
        </is>
      </c>
      <c r="G135" t="inlineStr">
        <is>
          <t>GRUMS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8361-2025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45708</v>
      </c>
      <c r="E136" s="1" t="n">
        <v>46222</v>
      </c>
      <c r="F136" t="inlineStr">
        <is>
          <t>VÄRMLANDS LÄN</t>
        </is>
      </c>
      <c r="G136" t="inlineStr">
        <is>
          <t>GRUMS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31964-2023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46222</v>
      </c>
      <c r="F137" t="inlineStr">
        <is>
          <t>VÄRMLANDS LÄN</t>
        </is>
      </c>
      <c r="G137" t="inlineStr">
        <is>
          <t>GRUMS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46222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52700-2025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46222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8732-2026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46222</v>
      </c>
      <c r="F140" t="inlineStr">
        <is>
          <t>VÄRMLANDS LÄN</t>
        </is>
      </c>
      <c r="G140" t="inlineStr">
        <is>
          <t>GRUMS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45956</v>
      </c>
      <c r="E141" s="1" t="n">
        <v>46222</v>
      </c>
      <c r="F141" t="inlineStr">
        <is>
          <t>VÄRMLANDS LÄN</t>
        </is>
      </c>
      <c r="G141" t="inlineStr">
        <is>
          <t>GRUMS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46222</v>
      </c>
      <c r="F142" t="inlineStr">
        <is>
          <t>VÄRMLANDS LÄN</t>
        </is>
      </c>
      <c r="G142" t="inlineStr">
        <is>
          <t>GRUMS</t>
        </is>
      </c>
      <c r="H142" t="inlineStr">
        <is>
          <t>Bergvik skog väst AB</t>
        </is>
      </c>
      <c r="I142" t="n">
        <v>14.4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30339-2022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46222</v>
      </c>
      <c r="F143" t="inlineStr">
        <is>
          <t>VÄRMLANDS LÄN</t>
        </is>
      </c>
      <c r="G143" t="inlineStr">
        <is>
          <t>GRUMS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6751-2025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46222</v>
      </c>
      <c r="F144" t="inlineStr">
        <is>
          <t>VÄRMLANDS LÄN</t>
        </is>
      </c>
      <c r="G144" t="inlineStr">
        <is>
          <t>GRUMS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46222</v>
      </c>
      <c r="F145" t="inlineStr">
        <is>
          <t>VÄRMLANDS LÄN</t>
        </is>
      </c>
      <c r="G145" t="inlineStr">
        <is>
          <t>GRUMS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63919-2021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44509</v>
      </c>
      <c r="E146" s="1" t="n">
        <v>46222</v>
      </c>
      <c r="F146" t="inlineStr">
        <is>
          <t>VÄRMLANDS LÄN</t>
        </is>
      </c>
      <c r="G146" t="inlineStr">
        <is>
          <t>GRUMS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9144-2024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46222</v>
      </c>
      <c r="F147" t="inlineStr">
        <is>
          <t>VÄRMLANDS LÄN</t>
        </is>
      </c>
      <c r="G147" t="inlineStr">
        <is>
          <t>GRUMS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46222</v>
      </c>
      <c r="F148" t="inlineStr">
        <is>
          <t>VÄRMLANDS LÄN</t>
        </is>
      </c>
      <c r="G148" t="inlineStr">
        <is>
          <t>GRUMS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12283-2026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46222</v>
      </c>
      <c r="F149" t="inlineStr">
        <is>
          <t>VÄRMLANDS LÄN</t>
        </is>
      </c>
      <c r="G149" t="inlineStr">
        <is>
          <t>GRUMS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58751-2025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46222</v>
      </c>
      <c r="F150" t="inlineStr">
        <is>
          <t>VÄRMLANDS LÄN</t>
        </is>
      </c>
      <c r="G150" t="inlineStr">
        <is>
          <t>GRUMS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33948-2023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45124</v>
      </c>
      <c r="E151" s="1" t="n">
        <v>46222</v>
      </c>
      <c r="F151" t="inlineStr">
        <is>
          <t>VÄRMLANDS LÄN</t>
        </is>
      </c>
      <c r="G151" t="inlineStr">
        <is>
          <t>GRUMS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27222-2023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46222</v>
      </c>
      <c r="F152" t="inlineStr">
        <is>
          <t>VÄRMLANDS LÄN</t>
        </is>
      </c>
      <c r="G152" t="inlineStr">
        <is>
          <t>GRUMS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46222</v>
      </c>
      <c r="F153" t="inlineStr">
        <is>
          <t>VÄRMLANDS LÄN</t>
        </is>
      </c>
      <c r="G153" t="inlineStr">
        <is>
          <t>GRUMS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17972-2025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46222</v>
      </c>
      <c r="F154" t="inlineStr">
        <is>
          <t>VÄRMLANDS LÄN</t>
        </is>
      </c>
      <c r="G154" t="inlineStr">
        <is>
          <t>GRUMS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62896-2023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46222</v>
      </c>
      <c r="F155" t="inlineStr">
        <is>
          <t>VÄRMLANDS LÄN</t>
        </is>
      </c>
      <c r="G155" t="inlineStr">
        <is>
          <t>GRUMS</t>
        </is>
      </c>
      <c r="I155" t="n">
        <v>13.8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6938-2024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45343</v>
      </c>
      <c r="E156" s="1" t="n">
        <v>46222</v>
      </c>
      <c r="F156" t="inlineStr">
        <is>
          <t>VÄRMLANDS LÄN</t>
        </is>
      </c>
      <c r="G156" t="inlineStr">
        <is>
          <t>GRUMS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26829-2023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46222</v>
      </c>
      <c r="F157" t="inlineStr">
        <is>
          <t>VÄRMLANDS LÄN</t>
        </is>
      </c>
      <c r="G157" t="inlineStr">
        <is>
          <t>GRUMS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13895-2024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46222</v>
      </c>
      <c r="F158" t="inlineStr">
        <is>
          <t>VÄRMLANDS LÄN</t>
        </is>
      </c>
      <c r="G158" t="inlineStr">
        <is>
          <t>GRUMS</t>
        </is>
      </c>
      <c r="H158" t="inlineStr">
        <is>
          <t>Bergvik skog väst AB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26815-2023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46222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14688-2026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46101</v>
      </c>
      <c r="E160" s="1" t="n">
        <v>46222</v>
      </c>
      <c r="F160" t="inlineStr">
        <is>
          <t>VÄRMLANDS LÄN</t>
        </is>
      </c>
      <c r="G160" t="inlineStr">
        <is>
          <t>GRUMS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46222</v>
      </c>
      <c r="F161" t="inlineStr">
        <is>
          <t>VÄRMLANDS LÄN</t>
        </is>
      </c>
      <c r="G161" t="inlineStr">
        <is>
          <t>GRUMS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46222</v>
      </c>
      <c r="F162" t="inlineStr">
        <is>
          <t>VÄRMLANDS LÄN</t>
        </is>
      </c>
      <c r="G162" t="inlineStr">
        <is>
          <t>GRUMS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14306-2023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45011</v>
      </c>
      <c r="E163" s="1" t="n">
        <v>46222</v>
      </c>
      <c r="F163" t="inlineStr">
        <is>
          <t>VÄRMLANDS LÄN</t>
        </is>
      </c>
      <c r="G163" t="inlineStr">
        <is>
          <t>GRUMS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59391-2025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45989</v>
      </c>
      <c r="E164" s="1" t="n">
        <v>46222</v>
      </c>
      <c r="F164" t="inlineStr">
        <is>
          <t>VÄRMLANDS LÄN</t>
        </is>
      </c>
      <c r="G164" t="inlineStr">
        <is>
          <t>GRUMS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46222</v>
      </c>
      <c r="F165" t="inlineStr">
        <is>
          <t>VÄRMLANDS LÄN</t>
        </is>
      </c>
      <c r="G165" t="inlineStr">
        <is>
          <t>GRUMS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31974-2023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46222</v>
      </c>
      <c r="F166" t="inlineStr">
        <is>
          <t>VÄRMLANDS LÄN</t>
        </is>
      </c>
      <c r="G166" t="inlineStr">
        <is>
          <t>GRUMS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45336</v>
      </c>
      <c r="E167" s="1" t="n">
        <v>46222</v>
      </c>
      <c r="F167" t="inlineStr">
        <is>
          <t>VÄRMLANDS LÄN</t>
        </is>
      </c>
      <c r="G167" t="inlineStr">
        <is>
          <t>GRUMS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15543-2026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46222</v>
      </c>
      <c r="F168" t="inlineStr">
        <is>
          <t>VÄRMLANDS LÄN</t>
        </is>
      </c>
      <c r="G168" t="inlineStr">
        <is>
          <t>GRUMS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15549-2026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46222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45310</v>
      </c>
      <c r="E170" s="1" t="n">
        <v>46222</v>
      </c>
      <c r="F170" t="inlineStr">
        <is>
          <t>VÄRMLANDS LÄN</t>
        </is>
      </c>
      <c r="G170" t="inlineStr">
        <is>
          <t>GRUMS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46222</v>
      </c>
      <c r="F171" t="inlineStr">
        <is>
          <t>VÄRMLANDS LÄN</t>
        </is>
      </c>
      <c r="G171" t="inlineStr">
        <is>
          <t>GRUMS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69847-2021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46222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46222</v>
      </c>
      <c r="F173" t="inlineStr">
        <is>
          <t>VÄRMLANDS LÄN</t>
        </is>
      </c>
      <c r="G173" t="inlineStr">
        <is>
          <t>GRUMS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71706-2021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46222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39145-2021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44412</v>
      </c>
      <c r="E175" s="1" t="n">
        <v>46222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47152-2023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46222</v>
      </c>
      <c r="F176" t="inlineStr">
        <is>
          <t>VÄRMLANDS LÄN</t>
        </is>
      </c>
      <c r="G176" t="inlineStr">
        <is>
          <t>GRUMS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46222</v>
      </c>
      <c r="F177" t="inlineStr">
        <is>
          <t>VÄRMLANDS LÄN</t>
        </is>
      </c>
      <c r="G177" t="inlineStr">
        <is>
          <t>GRUMS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46222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19054-2026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46132</v>
      </c>
      <c r="E179" s="1" t="n">
        <v>46222</v>
      </c>
      <c r="F179" t="inlineStr">
        <is>
          <t>VÄRMLANDS LÄN</t>
        </is>
      </c>
      <c r="G179" t="inlineStr">
        <is>
          <t>GRUMS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66056-2021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44517</v>
      </c>
      <c r="E180" s="1" t="n">
        <v>46222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45316</v>
      </c>
      <c r="E181" s="1" t="n">
        <v>46222</v>
      </c>
      <c r="F181" t="inlineStr">
        <is>
          <t>VÄRMLANDS LÄN</t>
        </is>
      </c>
      <c r="G181" t="inlineStr">
        <is>
          <t>GRUMS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46222</v>
      </c>
      <c r="F182" t="inlineStr">
        <is>
          <t>VÄRMLANDS LÄN</t>
        </is>
      </c>
      <c r="G182" t="inlineStr">
        <is>
          <t>GRUMS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12084-2024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46222</v>
      </c>
      <c r="F183" t="inlineStr">
        <is>
          <t>VÄRMLANDS LÄN</t>
        </is>
      </c>
      <c r="G183" t="inlineStr">
        <is>
          <t>GRUMS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29256-2025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46222</v>
      </c>
      <c r="F184" t="inlineStr">
        <is>
          <t>VÄRMLANDS LÄN</t>
        </is>
      </c>
      <c r="G184" t="inlineStr">
        <is>
          <t>GRUMS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20954-2023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46222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21248-2022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44705</v>
      </c>
      <c r="E186" s="1" t="n">
        <v>46222</v>
      </c>
      <c r="F186" t="inlineStr">
        <is>
          <t>VÄRMLANDS LÄN</t>
        </is>
      </c>
      <c r="G186" t="inlineStr">
        <is>
          <t>GRUMS</t>
        </is>
      </c>
      <c r="I186" t="n">
        <v>12.4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45757</v>
      </c>
      <c r="E187" s="1" t="n">
        <v>46222</v>
      </c>
      <c r="F187" t="inlineStr">
        <is>
          <t>VÄRMLANDS LÄN</t>
        </is>
      </c>
      <c r="G187" t="inlineStr">
        <is>
          <t>GRUMS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42143-2025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46222</v>
      </c>
      <c r="F188" t="inlineStr">
        <is>
          <t>VÄRMLANDS LÄN</t>
        </is>
      </c>
      <c r="G188" t="inlineStr">
        <is>
          <t>GRUMS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40522-2025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46222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45691</v>
      </c>
      <c r="E190" s="1" t="n">
        <v>46222</v>
      </c>
      <c r="F190" t="inlineStr">
        <is>
          <t>VÄRMLANDS LÄN</t>
        </is>
      </c>
      <c r="G190" t="inlineStr">
        <is>
          <t>GRUMS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20369-2024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45435</v>
      </c>
      <c r="E191" s="1" t="n">
        <v>46222</v>
      </c>
      <c r="F191" t="inlineStr">
        <is>
          <t>VÄRMLANDS LÄN</t>
        </is>
      </c>
      <c r="G191" t="inlineStr">
        <is>
          <t>GRUMS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11601-2025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46222</v>
      </c>
      <c r="F192" t="inlineStr">
        <is>
          <t>VÄRMLANDS LÄN</t>
        </is>
      </c>
      <c r="G192" t="inlineStr">
        <is>
          <t>GRUMS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45329</v>
      </c>
      <c r="E193" s="1" t="n">
        <v>46222</v>
      </c>
      <c r="F193" t="inlineStr">
        <is>
          <t>VÄRMLANDS LÄN</t>
        </is>
      </c>
      <c r="G193" t="inlineStr">
        <is>
          <t>GRUMS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32302-2024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46222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12175-2024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46222</v>
      </c>
      <c r="F195" t="inlineStr">
        <is>
          <t>VÄRMLANDS LÄN</t>
        </is>
      </c>
      <c r="G195" t="inlineStr">
        <is>
          <t>GRUMS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30527-2022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44762</v>
      </c>
      <c r="E196" s="1" t="n">
        <v>46222</v>
      </c>
      <c r="F196" t="inlineStr">
        <is>
          <t>VÄRMLANDS LÄN</t>
        </is>
      </c>
      <c r="G196" t="inlineStr">
        <is>
          <t>GRUMS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22347-2023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46222</v>
      </c>
      <c r="F197" t="inlineStr">
        <is>
          <t>VÄRMLANDS LÄN</t>
        </is>
      </c>
      <c r="G197" t="inlineStr">
        <is>
          <t>GRUMS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46222</v>
      </c>
      <c r="F198" t="inlineStr">
        <is>
          <t>VÄRMLANDS LÄN</t>
        </is>
      </c>
      <c r="G198" t="inlineStr">
        <is>
          <t>GRUMS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46024</v>
      </c>
      <c r="E199" s="1" t="n">
        <v>46222</v>
      </c>
      <c r="F199" t="inlineStr">
        <is>
          <t>VÄRMLANDS LÄN</t>
        </is>
      </c>
      <c r="G199" t="inlineStr">
        <is>
          <t>GRUMS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56220-2023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46222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26015-2026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46181</v>
      </c>
      <c r="E201" s="1" t="n">
        <v>46222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56219-2023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46222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6721-2025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46222</v>
      </c>
      <c r="F203" t="inlineStr">
        <is>
          <t>VÄRMLANDS LÄN</t>
        </is>
      </c>
      <c r="G203" t="inlineStr">
        <is>
          <t>GRUMS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40524-2025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46222</v>
      </c>
      <c r="F204" t="inlineStr">
        <is>
          <t>VÄRMLANDS LÄN</t>
        </is>
      </c>
      <c r="G204" t="inlineStr">
        <is>
          <t>GRUMS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59617-2025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46222</v>
      </c>
      <c r="F205" t="inlineStr">
        <is>
          <t>VÄRMLANDS LÄN</t>
        </is>
      </c>
      <c r="G205" t="inlineStr">
        <is>
          <t>GRUMS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17437-2025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46222</v>
      </c>
      <c r="F206" t="inlineStr">
        <is>
          <t>VÄRMLANDS LÄN</t>
        </is>
      </c>
      <c r="G206" t="inlineStr">
        <is>
          <t>GRUMS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44596</v>
      </c>
      <c r="E207" s="1" t="n">
        <v>46222</v>
      </c>
      <c r="F207" t="inlineStr">
        <is>
          <t>VÄRMLANDS LÄN</t>
        </is>
      </c>
      <c r="G207" t="inlineStr">
        <is>
          <t>GRUMS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31561-2023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46222</v>
      </c>
      <c r="F208" t="inlineStr">
        <is>
          <t>VÄRMLANDS LÄN</t>
        </is>
      </c>
      <c r="G208" t="inlineStr">
        <is>
          <t>GRUMS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44635</v>
      </c>
      <c r="E209" s="1" t="n">
        <v>46222</v>
      </c>
      <c r="F209" t="inlineStr">
        <is>
          <t>VÄRMLANDS LÄN</t>
        </is>
      </c>
      <c r="G209" t="inlineStr">
        <is>
          <t>GRUMS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40935-2022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44823</v>
      </c>
      <c r="E210" s="1" t="n">
        <v>46222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36646-2023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46222</v>
      </c>
      <c r="F211" t="inlineStr">
        <is>
          <t>VÄRMLANDS LÄN</t>
        </is>
      </c>
      <c r="G211" t="inlineStr">
        <is>
          <t>GRUMS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29724-2023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45107</v>
      </c>
      <c r="E212" s="1" t="n">
        <v>46222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8362-2025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45708</v>
      </c>
      <c r="E213" s="1" t="n">
        <v>46222</v>
      </c>
      <c r="F213" t="inlineStr">
        <is>
          <t>VÄRMLANDS LÄN</t>
        </is>
      </c>
      <c r="G213" t="inlineStr">
        <is>
          <t>GRUMS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46222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44861</v>
      </c>
      <c r="E215" s="1" t="n">
        <v>46222</v>
      </c>
      <c r="F215" t="inlineStr">
        <is>
          <t>VÄRMLANDS LÄN</t>
        </is>
      </c>
      <c r="G215" t="inlineStr">
        <is>
          <t>GRUMS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16635-2024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45408</v>
      </c>
      <c r="E216" s="1" t="n">
        <v>46222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37676-2023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45159</v>
      </c>
      <c r="E217" s="1" t="n">
        <v>46222</v>
      </c>
      <c r="F217" t="inlineStr">
        <is>
          <t>VÄRMLANDS LÄN</t>
        </is>
      </c>
      <c r="G217" t="inlineStr">
        <is>
          <t>GRUMS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53137-2023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45229</v>
      </c>
      <c r="E218" s="1" t="n">
        <v>46222</v>
      </c>
      <c r="F218" t="inlineStr">
        <is>
          <t>VÄRMLANDS LÄN</t>
        </is>
      </c>
      <c r="G218" t="inlineStr">
        <is>
          <t>GRUMS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46222</v>
      </c>
      <c r="F219" t="inlineStr">
        <is>
          <t>VÄRMLANDS LÄN</t>
        </is>
      </c>
      <c r="G219" t="inlineStr">
        <is>
          <t>GRUMS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46222</v>
      </c>
      <c r="F220" t="inlineStr">
        <is>
          <t>VÄRMLANDS LÄN</t>
        </is>
      </c>
      <c r="G220" t="inlineStr">
        <is>
          <t>GRUMS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46299-2022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44847</v>
      </c>
      <c r="E221" s="1" t="n">
        <v>46222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62554-2022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46222</v>
      </c>
      <c r="F222" t="inlineStr">
        <is>
          <t>VÄRMLANDS LÄN</t>
        </is>
      </c>
      <c r="G222" t="inlineStr">
        <is>
          <t>GRUMS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57236-2023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46222</v>
      </c>
      <c r="F223" t="inlineStr">
        <is>
          <t>VÄRMLANDS LÄN</t>
        </is>
      </c>
      <c r="G223" t="inlineStr">
        <is>
          <t>GRUMS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57237-2023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46222</v>
      </c>
      <c r="F224" t="inlineStr">
        <is>
          <t>VÄRMLANDS LÄN</t>
        </is>
      </c>
      <c r="G224" t="inlineStr">
        <is>
          <t>GRUMS</t>
        </is>
      </c>
      <c r="I224" t="n">
        <v>18.2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29577-2024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45484</v>
      </c>
      <c r="E225" s="1" t="n">
        <v>46222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10.1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27443-2024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45474</v>
      </c>
      <c r="E226" s="1" t="n">
        <v>46222</v>
      </c>
      <c r="F226" t="inlineStr">
        <is>
          <t>VÄRMLANDS LÄN</t>
        </is>
      </c>
      <c r="G226" t="inlineStr">
        <is>
          <t>GRUMS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32959-2022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44784</v>
      </c>
      <c r="E227" s="1" t="n">
        <v>46222</v>
      </c>
      <c r="F227" t="inlineStr">
        <is>
          <t>VÄRMLANDS LÄN</t>
        </is>
      </c>
      <c r="G227" t="inlineStr">
        <is>
          <t>GRUMS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22406-2026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46222</v>
      </c>
      <c r="F228" t="inlineStr">
        <is>
          <t>VÄRMLANDS LÄN</t>
        </is>
      </c>
      <c r="G228" t="inlineStr">
        <is>
          <t>GRUMS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13320-2024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46222</v>
      </c>
      <c r="F229" t="inlineStr">
        <is>
          <t>VÄRMLANDS LÄN</t>
        </is>
      </c>
      <c r="G229" t="inlineStr">
        <is>
          <t>GRUMS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38517-2024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46222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37119-2024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46222</v>
      </c>
      <c r="F231" t="inlineStr">
        <is>
          <t>VÄRMLANDS LÄN</t>
        </is>
      </c>
      <c r="G231" t="inlineStr">
        <is>
          <t>GRUMS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46222</v>
      </c>
      <c r="F232" t="inlineStr">
        <is>
          <t>VÄRMLANDS LÄN</t>
        </is>
      </c>
      <c r="G232" t="inlineStr">
        <is>
          <t>GRUMS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39334-2025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46222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19802-2024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46222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34580-2022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44795</v>
      </c>
      <c r="E235" s="1" t="n">
        <v>46222</v>
      </c>
      <c r="F235" t="inlineStr">
        <is>
          <t>VÄRMLANDS LÄN</t>
        </is>
      </c>
      <c r="G235" t="inlineStr">
        <is>
          <t>GRUMS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45681</v>
      </c>
      <c r="E236" s="1" t="n">
        <v>46222</v>
      </c>
      <c r="F236" t="inlineStr">
        <is>
          <t>VÄRMLANDS LÄN</t>
        </is>
      </c>
      <c r="G236" t="inlineStr">
        <is>
          <t>GRUMS</t>
        </is>
      </c>
      <c r="H236" t="inlineStr">
        <is>
          <t>BillerudKorsnäs AB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29222-2026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46222</v>
      </c>
      <c r="F237" t="inlineStr">
        <is>
          <t>VÄRMLANDS LÄN</t>
        </is>
      </c>
      <c r="G237" t="inlineStr">
        <is>
          <t>GRUMS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29205-2026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46202</v>
      </c>
      <c r="E238" s="1" t="n">
        <v>46222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29191-2026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46222</v>
      </c>
      <c r="F239" t="inlineStr">
        <is>
          <t>VÄRMLANDS LÄN</t>
        </is>
      </c>
      <c r="G239" t="inlineStr">
        <is>
          <t>GRUMS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71903-2021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44543</v>
      </c>
      <c r="E240" s="1" t="n">
        <v>46222</v>
      </c>
      <c r="F240" t="inlineStr">
        <is>
          <t>VÄRMLANDS LÄN</t>
        </is>
      </c>
      <c r="G240" t="inlineStr">
        <is>
          <t>GRUMS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19566-2023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46222</v>
      </c>
      <c r="F241" t="inlineStr">
        <is>
          <t>VÄRMLANDS LÄN</t>
        </is>
      </c>
      <c r="G241" t="inlineStr">
        <is>
          <t>GRUMS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7272-2022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44606</v>
      </c>
      <c r="E242" s="1" t="n">
        <v>46222</v>
      </c>
      <c r="F242" t="inlineStr">
        <is>
          <t>VÄRMLANDS LÄN</t>
        </is>
      </c>
      <c r="G242" t="inlineStr">
        <is>
          <t>GRUMS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22822-2024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46222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59542-2022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44907</v>
      </c>
      <c r="E244" s="1" t="n">
        <v>46222</v>
      </c>
      <c r="F244" t="inlineStr">
        <is>
          <t>VÄRMLANDS LÄN</t>
        </is>
      </c>
      <c r="G244" t="inlineStr">
        <is>
          <t>GRUMS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21402-2024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46222</v>
      </c>
      <c r="F245" t="inlineStr">
        <is>
          <t>VÄRMLANDS LÄN</t>
        </is>
      </c>
      <c r="G245" t="inlineStr">
        <is>
          <t>GRUMS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71781-2021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44539</v>
      </c>
      <c r="E246" s="1" t="n">
        <v>46222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31930-2024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45510</v>
      </c>
      <c r="E247" s="1" t="n">
        <v>46222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23702-2026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46222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73901-2021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44552</v>
      </c>
      <c r="E249" s="1" t="n">
        <v>46222</v>
      </c>
      <c r="F249" t="inlineStr">
        <is>
          <t>VÄRMLANDS LÄN</t>
        </is>
      </c>
      <c r="G249" t="inlineStr">
        <is>
          <t>GRUMS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23733-2026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46164</v>
      </c>
      <c r="E250" s="1" t="n">
        <v>46222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46222</v>
      </c>
      <c r="F251" t="inlineStr">
        <is>
          <t>VÄRMLANDS LÄN</t>
        </is>
      </c>
      <c r="G251" t="inlineStr">
        <is>
          <t>GRUMS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26840-2023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46222</v>
      </c>
      <c r="F252" t="inlineStr">
        <is>
          <t>VÄRMLANDS LÄN</t>
        </is>
      </c>
      <c r="G252" t="inlineStr">
        <is>
          <t>GRUMS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13820-2024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45390</v>
      </c>
      <c r="E253" s="1" t="n">
        <v>46222</v>
      </c>
      <c r="F253" t="inlineStr">
        <is>
          <t>VÄRMLANDS LÄN</t>
        </is>
      </c>
      <c r="G253" t="inlineStr">
        <is>
          <t>GRUMS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23945-2026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46167</v>
      </c>
      <c r="E254" s="1" t="n">
        <v>46222</v>
      </c>
      <c r="F254" t="inlineStr">
        <is>
          <t>VÄRMLANDS LÄN</t>
        </is>
      </c>
      <c r="G254" t="inlineStr">
        <is>
          <t>GRUMS</t>
        </is>
      </c>
      <c r="H254" t="inlineStr">
        <is>
          <t>Kommuner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46222</v>
      </c>
      <c r="F255" t="inlineStr">
        <is>
          <t>VÄRMLANDS LÄN</t>
        </is>
      </c>
      <c r="G255" t="inlineStr">
        <is>
          <t>GRUMS</t>
        </is>
      </c>
      <c r="I255" t="n">
        <v>22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18341-2025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46222</v>
      </c>
      <c r="F256" t="inlineStr">
        <is>
          <t>VÄRMLANDS LÄN</t>
        </is>
      </c>
      <c r="G256" t="inlineStr">
        <is>
          <t>GRUMS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52848-2021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44467</v>
      </c>
      <c r="E257" s="1" t="n">
        <v>46222</v>
      </c>
      <c r="F257" t="inlineStr">
        <is>
          <t>VÄRMLANDS LÄN</t>
        </is>
      </c>
      <c r="G257" t="inlineStr">
        <is>
          <t>GRUMS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19753-2024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45432</v>
      </c>
      <c r="E258" s="1" t="n">
        <v>46222</v>
      </c>
      <c r="F258" t="inlineStr">
        <is>
          <t>VÄRMLANDS LÄN</t>
        </is>
      </c>
      <c r="G258" t="inlineStr">
        <is>
          <t>GRUMS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46222</v>
      </c>
      <c r="F259" t="inlineStr">
        <is>
          <t>VÄRMLANDS LÄN</t>
        </is>
      </c>
      <c r="G259" t="inlineStr">
        <is>
          <t>GRUMS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55227-2023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46222</v>
      </c>
      <c r="F260" t="inlineStr">
        <is>
          <t>VÄRMLANDS LÄN</t>
        </is>
      </c>
      <c r="G260" t="inlineStr">
        <is>
          <t>GRUMS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9837-2023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46222</v>
      </c>
      <c r="F261" t="inlineStr">
        <is>
          <t>VÄRMLANDS LÄN</t>
        </is>
      </c>
      <c r="G261" t="inlineStr">
        <is>
          <t>GRUMS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46214</v>
      </c>
      <c r="E262" s="1" t="n">
        <v>46222</v>
      </c>
      <c r="F262" t="inlineStr">
        <is>
          <t>VÄRMLANDS LÄN</t>
        </is>
      </c>
      <c r="G262" t="inlineStr">
        <is>
          <t>GRUMS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46222</v>
      </c>
      <c r="F263" t="inlineStr">
        <is>
          <t>VÄRMLANDS LÄN</t>
        </is>
      </c>
      <c r="G263" t="inlineStr">
        <is>
          <t>GRUMS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1556-2025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46222</v>
      </c>
      <c r="F264" t="inlineStr">
        <is>
          <t>VÄRMLANDS LÄN</t>
        </is>
      </c>
      <c r="G264" t="inlineStr">
        <is>
          <t>GRUMS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73033-2021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46222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64304-2023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46222</v>
      </c>
      <c r="F266" t="inlineStr">
        <is>
          <t>VÄRMLANDS LÄN</t>
        </is>
      </c>
      <c r="G266" t="inlineStr">
        <is>
          <t>GRUMS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46222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48553-2023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46222</v>
      </c>
      <c r="F268" t="inlineStr">
        <is>
          <t>VÄRMLANDS LÄN</t>
        </is>
      </c>
      <c r="G268" t="inlineStr">
        <is>
          <t>GRUMS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17573-2025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46222</v>
      </c>
      <c r="F269" t="inlineStr">
        <is>
          <t>VÄRMLANDS LÄN</t>
        </is>
      </c>
      <c r="G269" t="inlineStr">
        <is>
          <t>GRUMS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45188</v>
      </c>
      <c r="E270" s="1" t="n">
        <v>46222</v>
      </c>
      <c r="F270" t="inlineStr">
        <is>
          <t>VÄRMLANDS LÄN</t>
        </is>
      </c>
      <c r="G270" t="inlineStr">
        <is>
          <t>GRUMS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30914-2023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46222</v>
      </c>
      <c r="F271" t="inlineStr">
        <is>
          <t>VÄRMLANDS LÄN</t>
        </is>
      </c>
      <c r="G271" t="inlineStr">
        <is>
          <t>GRUMS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8370-2023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46222</v>
      </c>
      <c r="F272" t="inlineStr">
        <is>
          <t>VÄRMLANDS LÄN</t>
        </is>
      </c>
      <c r="G272" t="inlineStr">
        <is>
          <t>GRUMS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12217-2025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46222</v>
      </c>
      <c r="F273" t="inlineStr">
        <is>
          <t>VÄRMLANDS LÄN</t>
        </is>
      </c>
      <c r="G273" t="inlineStr">
        <is>
          <t>GRUMS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22133-2025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46222</v>
      </c>
      <c r="F274" t="inlineStr">
        <is>
          <t>VÄRMLANDS LÄN</t>
        </is>
      </c>
      <c r="G274" t="inlineStr">
        <is>
          <t>GRUMS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22537-2025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45787</v>
      </c>
      <c r="E275" s="1" t="n">
        <v>46222</v>
      </c>
      <c r="F275" t="inlineStr">
        <is>
          <t>VÄRMLANDS LÄN</t>
        </is>
      </c>
      <c r="G275" t="inlineStr">
        <is>
          <t>GRUMS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13289-2025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46222</v>
      </c>
      <c r="F276" t="inlineStr">
        <is>
          <t>VÄRMLANDS LÄN</t>
        </is>
      </c>
      <c r="G276" t="inlineStr">
        <is>
          <t>GRUMS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46222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46222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46222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46222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46222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2026-07-19T01:35:10Z</dcterms:created>
  <dcterms:modified xmlns:dcterms="http://purl.org/dc/terms/" xmlns:xsi="http://www.w3.org/2001/XMLSchema-instance" xsi:type="dcterms:W3CDTF">2026-07-19T01:35:10Z</dcterms:modified>
</cp:coreProperties>
</file>