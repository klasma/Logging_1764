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46236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46236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46236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46236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46236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46236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54042-2021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44470</v>
      </c>
      <c r="E12" s="1" t="n">
        <v>46236</v>
      </c>
      <c r="F12" t="inlineStr">
        <is>
          <t>VÄRMLANDS LÄN</t>
        </is>
      </c>
      <c r="G12" t="inlineStr">
        <is>
          <t>GRUMS</t>
        </is>
      </c>
      <c r="I12" t="n">
        <v>7.8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Fläcknycklar</t>
        </is>
      </c>
      <c r="W12">
        <f>HYPERLINK("https://klasma.github.io/Logging_1764/artfynd/A 54042-2021 artfynd.xlsx", "A 54042-2021")</f>
        <v/>
      </c>
      <c r="X12">
        <f>HYPERLINK("https://klasma.github.io/Logging_1764/kartor/A 54042-2021 karta.png", "A 54042-2021")</f>
        <v/>
      </c>
      <c r="Y12">
        <f>HYPERLINK("https://klasma.github.io/Logging_1764/kartor_geotiff/A 54042-2021 georefererad karta.tif", "A 54042-2021")</f>
        <v/>
      </c>
      <c r="AA12">
        <f>HYPERLINK("https://klasma.github.io/Logging_1764/klagomål/A 54042-2021 FSC-klagomål.docx", "A 54042-2021")</f>
        <v/>
      </c>
      <c r="AB12">
        <f>HYPERLINK("https://klasma.github.io/Logging_1764/klagomålsmail/A 54042-2021 FSC-klagomål mail.docx", "A 54042-2021")</f>
        <v/>
      </c>
      <c r="AC12">
        <f>HYPERLINK("https://klasma.github.io/Logging_1764/tillsyn/A 54042-2021 tillsynsbegäran.docx", "A 54042-2021")</f>
        <v/>
      </c>
      <c r="AD12">
        <f>HYPERLINK("https://klasma.github.io/Logging_1764/tillsynsmail/A 54042-2021 tillsynsbegäran mail.docx", "A 54042-2021")</f>
        <v/>
      </c>
      <c r="AE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44890</v>
      </c>
      <c r="E13" s="1" t="n">
        <v>46236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Vågfibbla
Rönnfibbla</t>
        </is>
      </c>
      <c r="W13">
        <f>HYPERLINK("https://klasma.github.io/Logging_1764/artfynd/A 56386-2022 artfynd.xlsx", "A 56386-2022")</f>
        <v/>
      </c>
      <c r="X13">
        <f>HYPERLINK("https://klasma.github.io/Logging_1764/kartor/A 56386-2022 karta.png", "A 56386-2022")</f>
        <v/>
      </c>
      <c r="Y13">
        <f>HYPERLINK("https://klasma.github.io/Logging_1764/kartor_geotiff/A 56386-2022 georefererad karta.tif", "A 56386-2022")</f>
        <v/>
      </c>
      <c r="AA13">
        <f>HYPERLINK("https://klasma.github.io/Logging_1764/klagomål/A 56386-2022 FSC-klagomål.docx", "A 56386-2022")</f>
        <v/>
      </c>
      <c r="AB13">
        <f>HYPERLINK("https://klasma.github.io/Logging_1764/klagomålsmail/A 56386-2022 FSC-klagomål mail.docx", "A 56386-2022")</f>
        <v/>
      </c>
      <c r="AC13">
        <f>HYPERLINK("https://klasma.github.io/Logging_1764/tillsyn/A 56386-2022 tillsynsbegäran.docx", "A 56386-2022")</f>
        <v/>
      </c>
      <c r="AD13">
        <f>HYPERLINK("https://klasma.github.io/Logging_1764/tillsynsmail/A 56386-2022 tillsynsbegäran mail.docx", "A 56386-2022")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46236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46236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46236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46236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46236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A 5280-2022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44593</v>
      </c>
      <c r="E19" s="1" t="n">
        <v>46236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37.1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1</v>
      </c>
      <c r="V19" s="2" t="inlineStr">
        <is>
          <t>Ask
Tjäder</t>
        </is>
      </c>
      <c r="W19">
        <f>HYPERLINK("https://klasma.github.io/Logging_1764/artfynd/A 5280-2022 artfynd.xlsx", "A 5280-2022")</f>
        <v/>
      </c>
      <c r="X19">
        <f>HYPERLINK("https://klasma.github.io/Logging_1764/kartor/A 5280-2022 karta.png", "A 5280-2022")</f>
        <v/>
      </c>
      <c r="Y19">
        <f>HYPERLINK("https://klasma.github.io/Logging_1764/kartor_geotiff/A 5280-2022 georefererad karta.tif", "A 5280-2022")</f>
        <v/>
      </c>
      <c r="AA19">
        <f>HYPERLINK("https://klasma.github.io/Logging_1764/klagomål/A 5280-2022 FSC-klagomål.docx", "A 5280-2022")</f>
        <v/>
      </c>
      <c r="AB19">
        <f>HYPERLINK("https://klasma.github.io/Logging_1764/klagomålsmail/A 5280-2022 FSC-klagomål mail.docx", "A 5280-2022")</f>
        <v/>
      </c>
      <c r="AC19">
        <f>HYPERLINK("https://klasma.github.io/Logging_1764/tillsyn/A 5280-2022 tillsynsbegäran.docx", "A 5280-2022")</f>
        <v/>
      </c>
      <c r="AD19">
        <f>HYPERLINK("https://klasma.github.io/Logging_1764/tillsynsmail/A 5280-2022 tillsynsbegäran mail.docx", "A 5280-2022")</f>
        <v/>
      </c>
      <c r="AE19">
        <f>HYPERLINK("https://klasma.github.io/Logging_1764/fåglar/A 5280-2022 prioriterade fågelarter.docx", "A 5280-2022")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46236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46236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46236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46236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46236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46236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46236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46236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46236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46236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46236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46236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47146-2025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46236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HYPERLINK("https://klasma.github.io/Logging_1764/artfynd/A 47146-2025 artfynd.xlsx", "A 47146-2025")</f>
        <v/>
      </c>
      <c r="X32">
        <f>HYPERLINK("https://klasma.github.io/Logging_1764/kartor/A 47146-2025 karta.png", "A 47146-2025")</f>
        <v/>
      </c>
      <c r="Y32">
        <f>HYPERLINK("https://klasma.github.io/Logging_1764/kartor_geotiff/A 47146-2025 georefererad karta.tif", "A 47146-2025")</f>
        <v/>
      </c>
      <c r="AA32">
        <f>HYPERLINK("https://klasma.github.io/Logging_1764/klagomål/A 47146-2025 FSC-klagomål.docx", "A 47146-2025")</f>
        <v/>
      </c>
      <c r="AB32">
        <f>HYPERLINK("https://klasma.github.io/Logging_1764/klagomålsmail/A 47146-2025 FSC-klagomål mail.docx", "A 47146-2025")</f>
        <v/>
      </c>
      <c r="AC32">
        <f>HYPERLINK("https://klasma.github.io/Logging_1764/tillsyn/A 47146-2025 tillsynsbegäran.docx", "A 47146-2025")</f>
        <v/>
      </c>
      <c r="AD32">
        <f>HYPERLINK("https://klasma.github.io/Logging_1764/tillsynsmail/A 47146-2025 tillsynsbegäran mail.docx", "A 47146-2025")</f>
        <v/>
      </c>
      <c r="AE32">
        <f>HYPERLINK("https://klasma.github.io/Logging_1764/fåglar/A 47146-2025 prioriterade fågelarter.docx", "A 47146-2025")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46236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46236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29582-2024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45484</v>
      </c>
      <c r="E35" s="1" t="n">
        <v>46236</v>
      </c>
      <c r="F35" t="inlineStr">
        <is>
          <t>VÄRMLANDS LÄN</t>
        </is>
      </c>
      <c r="G35" t="inlineStr">
        <is>
          <t>GRUMS</t>
        </is>
      </c>
      <c r="H35" t="inlineStr">
        <is>
          <t>Bergvik skog väst AB</t>
        </is>
      </c>
      <c r="I35" t="n">
        <v>3.1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HYPERLINK("https://klasma.github.io/Logging_1764/artfynd/A 29582-2024 artfynd.xlsx", "A 29582-2024")</f>
        <v/>
      </c>
      <c r="X35">
        <f>HYPERLINK("https://klasma.github.io/Logging_1764/kartor/A 29582-2024 karta.png", "A 29582-2024")</f>
        <v/>
      </c>
      <c r="Y35">
        <f>HYPERLINK("https://klasma.github.io/Logging_1764/kartor_geotiff/A 29582-2024 georefererad karta.tif", "A 29582-2024")</f>
        <v/>
      </c>
      <c r="AA35">
        <f>HYPERLINK("https://klasma.github.io/Logging_1764/klagomål/A 29582-2024 FSC-klagomål.docx", "A 29582-2024")</f>
        <v/>
      </c>
      <c r="AB35">
        <f>HYPERLINK("https://klasma.github.io/Logging_1764/klagomålsmail/A 29582-2024 FSC-klagomål mail.docx", "A 29582-2024")</f>
        <v/>
      </c>
      <c r="AC35">
        <f>HYPERLINK("https://klasma.github.io/Logging_1764/tillsyn/A 29582-2024 tillsynsbegäran.docx", "A 29582-2024")</f>
        <v/>
      </c>
      <c r="AD35">
        <f>HYPERLINK("https://klasma.github.io/Logging_1764/tillsynsmail/A 29582-2024 tillsynsbegäran mail.docx", "A 29582-2024")</f>
        <v/>
      </c>
    </row>
    <row r="36" ht="15" customHeight="1">
      <c r="A36" t="inlineStr">
        <is>
          <t>A 62675-2023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45271</v>
      </c>
      <c r="E36" s="1" t="n">
        <v>46236</v>
      </c>
      <c r="F36" t="inlineStr">
        <is>
          <t>VÄRMLANDS LÄN</t>
        </is>
      </c>
      <c r="G36" t="inlineStr">
        <is>
          <t>GRUMS</t>
        </is>
      </c>
      <c r="I36" t="n">
        <v>3.4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HYPERLINK("https://klasma.github.io/Logging_1764/artfynd/A 62675-2023 artfynd.xlsx", "A 62675-2023")</f>
        <v/>
      </c>
      <c r="X36">
        <f>HYPERLINK("https://klasma.github.io/Logging_1764/kartor/A 62675-2023 karta.png", "A 62675-2023")</f>
        <v/>
      </c>
      <c r="Y36">
        <f>HYPERLINK("https://klasma.github.io/Logging_1764/kartor_geotiff/A 62675-2023 georefererad karta.tif", "A 62675-2023")</f>
        <v/>
      </c>
      <c r="AA36">
        <f>HYPERLINK("https://klasma.github.io/Logging_1764/klagomål/A 62675-2023 FSC-klagomål.docx", "A 62675-2023")</f>
        <v/>
      </c>
      <c r="AB36">
        <f>HYPERLINK("https://klasma.github.io/Logging_1764/klagomålsmail/A 62675-2023 FSC-klagomål mail.docx", "A 62675-2023")</f>
        <v/>
      </c>
      <c r="AC36">
        <f>HYPERLINK("https://klasma.github.io/Logging_1764/tillsyn/A 62675-2023 tillsynsbegäran.docx", "A 62675-2023")</f>
        <v/>
      </c>
      <c r="AD36">
        <f>HYPERLINK("https://klasma.github.io/Logging_1764/tillsynsmail/A 62675-2023 tillsynsbegäran mail.docx", "A 62675-2023")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46236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46236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46236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46236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46236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46236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46236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46236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46236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46236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46236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46236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46236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46236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46236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46236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46236</v>
      </c>
      <c r="F53" t="inlineStr">
        <is>
          <t>VÄRMLANDS LÄN</t>
        </is>
      </c>
      <c r="G53" t="inlineStr">
        <is>
          <t>GRUMS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46236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46236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46236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46236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46236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46236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46236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46236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46236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44413</v>
      </c>
      <c r="E63" s="1" t="n">
        <v>46236</v>
      </c>
      <c r="F63" t="inlineStr">
        <is>
          <t>VÄRMLANDS LÄN</t>
        </is>
      </c>
      <c r="G63" t="inlineStr">
        <is>
          <t>GRUMS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44762</v>
      </c>
      <c r="E64" s="1" t="n">
        <v>46236</v>
      </c>
      <c r="F64" t="inlineStr">
        <is>
          <t>VÄRMLANDS LÄN</t>
        </is>
      </c>
      <c r="G64" t="inlineStr">
        <is>
          <t>GRUMS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46236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46236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46236</v>
      </c>
      <c r="F67" t="inlineStr">
        <is>
          <t>VÄRMLANDS LÄN</t>
        </is>
      </c>
      <c r="G67" t="inlineStr">
        <is>
          <t>GRUMS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46236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46236</v>
      </c>
      <c r="F69" t="inlineStr">
        <is>
          <t>VÄRMLANDS LÄN</t>
        </is>
      </c>
      <c r="G69" t="inlineStr">
        <is>
          <t>GRUMS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46236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46236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46236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46236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46236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45461</v>
      </c>
      <c r="E75" s="1" t="n">
        <v>46236</v>
      </c>
      <c r="F75" t="inlineStr">
        <is>
          <t>VÄRMLANDS LÄN</t>
        </is>
      </c>
      <c r="G75" t="inlineStr">
        <is>
          <t>GRUMS</t>
        </is>
      </c>
      <c r="I75" t="n">
        <v>12.8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46236</v>
      </c>
      <c r="F76" t="inlineStr">
        <is>
          <t>VÄRMLANDS LÄN</t>
        </is>
      </c>
      <c r="G76" t="inlineStr">
        <is>
          <t>GRUMS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59746-2021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46236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46236</v>
      </c>
      <c r="F78" t="inlineStr">
        <is>
          <t>VÄRMLANDS LÄN</t>
        </is>
      </c>
      <c r="G78" t="inlineStr">
        <is>
          <t>GRUMS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46236</v>
      </c>
      <c r="F79" t="inlineStr">
        <is>
          <t>VÄRMLANDS LÄN</t>
        </is>
      </c>
      <c r="G79" t="inlineStr">
        <is>
          <t>GRUMS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46236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46236</v>
      </c>
      <c r="F81" t="inlineStr">
        <is>
          <t>VÄRMLANDS LÄN</t>
        </is>
      </c>
      <c r="G81" t="inlineStr">
        <is>
          <t>GRUMS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46236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46236</v>
      </c>
      <c r="F83" t="inlineStr">
        <is>
          <t>VÄRMLANDS LÄN</t>
        </is>
      </c>
      <c r="G83" t="inlineStr">
        <is>
          <t>GRUMS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46236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46236</v>
      </c>
      <c r="F85" t="inlineStr">
        <is>
          <t>VÄRMLANDS LÄN</t>
        </is>
      </c>
      <c r="G85" t="inlineStr">
        <is>
          <t>GRUMS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46236</v>
      </c>
      <c r="F86" t="inlineStr">
        <is>
          <t>VÄRMLANDS LÄN</t>
        </is>
      </c>
      <c r="G86" t="inlineStr">
        <is>
          <t>GRUMS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46236</v>
      </c>
      <c r="F87" t="inlineStr">
        <is>
          <t>VÄRMLANDS LÄN</t>
        </is>
      </c>
      <c r="G87" t="inlineStr">
        <is>
          <t>GRUMS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46236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46236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45378</v>
      </c>
      <c r="E90" s="1" t="n">
        <v>46236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45049</v>
      </c>
      <c r="E91" s="1" t="n">
        <v>46236</v>
      </c>
      <c r="F91" t="inlineStr">
        <is>
          <t>VÄRMLANDS LÄN</t>
        </is>
      </c>
      <c r="G91" t="inlineStr">
        <is>
          <t>GRUMS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46236</v>
      </c>
      <c r="F92" t="inlineStr">
        <is>
          <t>VÄRMLANDS LÄN</t>
        </is>
      </c>
      <c r="G92" t="inlineStr">
        <is>
          <t>GRUMS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46236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46236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46236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46236</v>
      </c>
      <c r="F96" t="inlineStr">
        <is>
          <t>VÄRMLANDS LÄN</t>
        </is>
      </c>
      <c r="G96" t="inlineStr">
        <is>
          <t>GRUMS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46236</v>
      </c>
      <c r="F97" t="inlineStr">
        <is>
          <t>VÄRMLANDS LÄN</t>
        </is>
      </c>
      <c r="G97" t="inlineStr">
        <is>
          <t>GRUMS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45427</v>
      </c>
      <c r="E98" s="1" t="n">
        <v>46236</v>
      </c>
      <c r="F98" t="inlineStr">
        <is>
          <t>VÄRMLANDS LÄN</t>
        </is>
      </c>
      <c r="G98" t="inlineStr">
        <is>
          <t>GRUMS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46236</v>
      </c>
      <c r="F99" t="inlineStr">
        <is>
          <t>VÄRMLANDS LÄN</t>
        </is>
      </c>
      <c r="G99" t="inlineStr">
        <is>
          <t>GRUMS</t>
        </is>
      </c>
      <c r="I99" t="n">
        <v>13.7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45450</v>
      </c>
      <c r="E100" s="1" t="n">
        <v>46236</v>
      </c>
      <c r="F100" t="inlineStr">
        <is>
          <t>VÄRMLANDS LÄN</t>
        </is>
      </c>
      <c r="G100" t="inlineStr">
        <is>
          <t>GRUMS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46236</v>
      </c>
      <c r="F101" t="inlineStr">
        <is>
          <t>VÄRMLANDS LÄN</t>
        </is>
      </c>
      <c r="G101" t="inlineStr">
        <is>
          <t>GRUMS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44958</v>
      </c>
      <c r="E102" s="1" t="n">
        <v>46236</v>
      </c>
      <c r="F102" t="inlineStr">
        <is>
          <t>VÄRMLANDS LÄN</t>
        </is>
      </c>
      <c r="G102" t="inlineStr">
        <is>
          <t>GRUMS</t>
        </is>
      </c>
      <c r="I102" t="n">
        <v>14.3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46236</v>
      </c>
      <c r="F103" t="inlineStr">
        <is>
          <t>VÄRMLANDS LÄN</t>
        </is>
      </c>
      <c r="G103" t="inlineStr">
        <is>
          <t>GRUMS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45387</v>
      </c>
      <c r="E104" s="1" t="n">
        <v>46236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44907</v>
      </c>
      <c r="E105" s="1" t="n">
        <v>46236</v>
      </c>
      <c r="F105" t="inlineStr">
        <is>
          <t>VÄRMLANDS LÄN</t>
        </is>
      </c>
      <c r="G105" t="inlineStr">
        <is>
          <t>GRUMS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45441</v>
      </c>
      <c r="E106" s="1" t="n">
        <v>46236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46236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45467</v>
      </c>
      <c r="E108" s="1" t="n">
        <v>46236</v>
      </c>
      <c r="F108" t="inlineStr">
        <is>
          <t>VÄRMLANDS LÄN</t>
        </is>
      </c>
      <c r="G108" t="inlineStr">
        <is>
          <t>GRUMS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31362-2024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45505</v>
      </c>
      <c r="E109" s="1" t="n">
        <v>46236</v>
      </c>
      <c r="F109" t="inlineStr">
        <is>
          <t>VÄRMLANDS LÄN</t>
        </is>
      </c>
      <c r="G109" t="inlineStr">
        <is>
          <t>GRUMS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46236</v>
      </c>
      <c r="F110" t="inlineStr">
        <is>
          <t>VÄRMLANDS LÄN</t>
        </is>
      </c>
      <c r="G110" t="inlineStr">
        <is>
          <t>GRUMS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46236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44924</v>
      </c>
      <c r="E112" s="1" t="n">
        <v>46236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7991-2024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45350</v>
      </c>
      <c r="E113" s="1" t="n">
        <v>46236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46236</v>
      </c>
      <c r="F114" t="inlineStr">
        <is>
          <t>VÄRMLANDS LÄN</t>
        </is>
      </c>
      <c r="G114" t="inlineStr">
        <is>
          <t>GRUMS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46024</v>
      </c>
      <c r="E115" s="1" t="n">
        <v>46236</v>
      </c>
      <c r="F115" t="inlineStr">
        <is>
          <t>VÄRMLANDS LÄN</t>
        </is>
      </c>
      <c r="G115" t="inlineStr">
        <is>
          <t>GRUMS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46236</v>
      </c>
      <c r="F116" t="inlineStr">
        <is>
          <t>VÄRMLANDS LÄN</t>
        </is>
      </c>
      <c r="G116" t="inlineStr">
        <is>
          <t>GRUMS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46236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44432</v>
      </c>
      <c r="E118" s="1" t="n">
        <v>46236</v>
      </c>
      <c r="F118" t="inlineStr">
        <is>
          <t>VÄRMLANDS LÄN</t>
        </is>
      </c>
      <c r="G118" t="inlineStr">
        <is>
          <t>GRUMS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45896</v>
      </c>
      <c r="E119" s="1" t="n">
        <v>46236</v>
      </c>
      <c r="F119" t="inlineStr">
        <is>
          <t>VÄRMLANDS LÄN</t>
        </is>
      </c>
      <c r="G119" t="inlineStr">
        <is>
          <t>GRUMS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44956</v>
      </c>
      <c r="E120" s="1" t="n">
        <v>46236</v>
      </c>
      <c r="F120" t="inlineStr">
        <is>
          <t>VÄRMLANDS LÄN</t>
        </is>
      </c>
      <c r="G120" t="inlineStr">
        <is>
          <t>GRUMS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46236</v>
      </c>
      <c r="F121" t="inlineStr">
        <is>
          <t>VÄRMLANDS LÄN</t>
        </is>
      </c>
      <c r="G121" t="inlineStr">
        <is>
          <t>GRUMS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46236</v>
      </c>
      <c r="F122" t="inlineStr">
        <is>
          <t>VÄRMLANDS LÄN</t>
        </is>
      </c>
      <c r="G122" t="inlineStr">
        <is>
          <t>GRUMS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46236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71781-2021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46236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46236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46236</v>
      </c>
      <c r="F126" t="inlineStr">
        <is>
          <t>VÄRMLANDS LÄN</t>
        </is>
      </c>
      <c r="G126" t="inlineStr">
        <is>
          <t>GRUMS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31930-2024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45510</v>
      </c>
      <c r="E127" s="1" t="n">
        <v>46236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46236</v>
      </c>
      <c r="F128" t="inlineStr">
        <is>
          <t>VÄRMLANDS LÄN</t>
        </is>
      </c>
      <c r="G128" t="inlineStr">
        <is>
          <t>GRUMS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33081-2022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46236</v>
      </c>
      <c r="F129" t="inlineStr">
        <is>
          <t>VÄRMLANDS LÄN</t>
        </is>
      </c>
      <c r="G129" t="inlineStr">
        <is>
          <t>GRUMS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46236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46236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73901-2021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46236</v>
      </c>
      <c r="F132" t="inlineStr">
        <is>
          <t>VÄRMLANDS LÄN</t>
        </is>
      </c>
      <c r="G132" t="inlineStr">
        <is>
          <t>GRUMS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46236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46236</v>
      </c>
      <c r="F134" t="inlineStr">
        <is>
          <t>VÄRMLANDS LÄN</t>
        </is>
      </c>
      <c r="G134" t="inlineStr">
        <is>
          <t>GRUMS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46236</v>
      </c>
      <c r="F135" t="inlineStr">
        <is>
          <t>VÄRMLANDS LÄN</t>
        </is>
      </c>
      <c r="G135" t="inlineStr">
        <is>
          <t>GRUMS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46236</v>
      </c>
      <c r="F136" t="inlineStr">
        <is>
          <t>VÄRMLANDS LÄN</t>
        </is>
      </c>
      <c r="G136" t="inlineStr">
        <is>
          <t>GRUMS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51509-2025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45950</v>
      </c>
      <c r="E137" s="1" t="n">
        <v>46236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45427</v>
      </c>
      <c r="E138" s="1" t="n">
        <v>46236</v>
      </c>
      <c r="F138" t="inlineStr">
        <is>
          <t>VÄRMLANDS LÄN</t>
        </is>
      </c>
      <c r="G138" t="inlineStr">
        <is>
          <t>GRUMS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46236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46236</v>
      </c>
      <c r="F140" t="inlineStr">
        <is>
          <t>VÄRMLANDS LÄN</t>
        </is>
      </c>
      <c r="G140" t="inlineStr">
        <is>
          <t>GRUMS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46236</v>
      </c>
      <c r="F141" t="inlineStr">
        <is>
          <t>VÄRMLANDS LÄN</t>
        </is>
      </c>
      <c r="G141" t="inlineStr">
        <is>
          <t>GRUMS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46236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46236</v>
      </c>
      <c r="F143" t="inlineStr">
        <is>
          <t>VÄRMLANDS LÄN</t>
        </is>
      </c>
      <c r="G143" t="inlineStr">
        <is>
          <t>GRUMS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46236</v>
      </c>
      <c r="F144" t="inlineStr">
        <is>
          <t>VÄRMLANDS LÄN</t>
        </is>
      </c>
      <c r="G144" t="inlineStr">
        <is>
          <t>GRUMS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46236</v>
      </c>
      <c r="F145" t="inlineStr">
        <is>
          <t>VÄRMLANDS LÄN</t>
        </is>
      </c>
      <c r="G145" t="inlineStr">
        <is>
          <t>GRUMS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44797</v>
      </c>
      <c r="E146" s="1" t="n">
        <v>46236</v>
      </c>
      <c r="F146" t="inlineStr">
        <is>
          <t>VÄRMLANDS LÄN</t>
        </is>
      </c>
      <c r="G146" t="inlineStr">
        <is>
          <t>GRUMS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46236</v>
      </c>
      <c r="F147" t="inlineStr">
        <is>
          <t>VÄRMLANDS LÄN</t>
        </is>
      </c>
      <c r="G147" t="inlineStr">
        <is>
          <t>GRUMS</t>
        </is>
      </c>
      <c r="H147" t="inlineStr">
        <is>
          <t>Bergvik skog väst AB</t>
        </is>
      </c>
      <c r="I147" t="n">
        <v>14.4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46236</v>
      </c>
      <c r="F148" t="inlineStr">
        <is>
          <t>VÄRMLANDS LÄN</t>
        </is>
      </c>
      <c r="G148" t="inlineStr">
        <is>
          <t>GRUMS</t>
        </is>
      </c>
      <c r="I148" t="n">
        <v>22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44760</v>
      </c>
      <c r="E149" s="1" t="n">
        <v>46236</v>
      </c>
      <c r="F149" t="inlineStr">
        <is>
          <t>VÄRMLANDS LÄN</t>
        </is>
      </c>
      <c r="G149" t="inlineStr">
        <is>
          <t>GRUMS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46236</v>
      </c>
      <c r="F150" t="inlineStr">
        <is>
          <t>VÄRMLANDS LÄN</t>
        </is>
      </c>
      <c r="G150" t="inlineStr">
        <is>
          <t>GRUMS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46236</v>
      </c>
      <c r="F151" t="inlineStr">
        <is>
          <t>VÄRMLANDS LÄN</t>
        </is>
      </c>
      <c r="G151" t="inlineStr">
        <is>
          <t>GRUMS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46236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46236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46236</v>
      </c>
      <c r="F154" t="inlineStr">
        <is>
          <t>VÄRMLANDS LÄN</t>
        </is>
      </c>
      <c r="G154" t="inlineStr">
        <is>
          <t>GRUMS</t>
        </is>
      </c>
      <c r="H154" t="inlineStr">
        <is>
          <t>BillerudKorsnäs AB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46236</v>
      </c>
      <c r="F155" t="inlineStr">
        <is>
          <t>VÄRMLANDS LÄN</t>
        </is>
      </c>
      <c r="G155" t="inlineStr">
        <is>
          <t>GRUMS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63919-2021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46236</v>
      </c>
      <c r="F156" t="inlineStr">
        <is>
          <t>VÄRMLANDS LÄN</t>
        </is>
      </c>
      <c r="G156" t="inlineStr">
        <is>
          <t>GRUMS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46236</v>
      </c>
      <c r="F157" t="inlineStr">
        <is>
          <t>VÄRMLANDS LÄN</t>
        </is>
      </c>
      <c r="G157" t="inlineStr">
        <is>
          <t>GRUMS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46236</v>
      </c>
      <c r="F158" t="inlineStr">
        <is>
          <t>VÄRMLANDS LÄN</t>
        </is>
      </c>
      <c r="G158" t="inlineStr">
        <is>
          <t>GRUMS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71903-2021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46236</v>
      </c>
      <c r="F159" t="inlineStr">
        <is>
          <t>VÄRMLANDS LÄN</t>
        </is>
      </c>
      <c r="G159" t="inlineStr">
        <is>
          <t>GRUMS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46236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46236</v>
      </c>
      <c r="F161" t="inlineStr">
        <is>
          <t>VÄRMLANDS LÄN</t>
        </is>
      </c>
      <c r="G161" t="inlineStr">
        <is>
          <t>GRUMS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46236</v>
      </c>
      <c r="F162" t="inlineStr">
        <is>
          <t>VÄRMLANDS LÄN</t>
        </is>
      </c>
      <c r="G162" t="inlineStr">
        <is>
          <t>GRUMS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46164</v>
      </c>
      <c r="E163" s="1" t="n">
        <v>46236</v>
      </c>
      <c r="F163" t="inlineStr">
        <is>
          <t>VÄRMLANDS LÄN</t>
        </is>
      </c>
      <c r="G163" t="inlineStr">
        <is>
          <t>GRUMS</t>
        </is>
      </c>
      <c r="H163" t="inlineStr">
        <is>
          <t>Kommuner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46236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46236</v>
      </c>
      <c r="F165" t="inlineStr">
        <is>
          <t>VÄRMLANDS LÄN</t>
        </is>
      </c>
      <c r="G165" t="inlineStr">
        <is>
          <t>GRUMS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46164</v>
      </c>
      <c r="E166" s="1" t="n">
        <v>46236</v>
      </c>
      <c r="F166" t="inlineStr">
        <is>
          <t>VÄRMLANDS LÄN</t>
        </is>
      </c>
      <c r="G166" t="inlineStr">
        <is>
          <t>GRUMS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46236</v>
      </c>
      <c r="F167" t="inlineStr">
        <is>
          <t>VÄRMLANDS LÄN</t>
        </is>
      </c>
      <c r="G167" t="inlineStr">
        <is>
          <t>GRUMS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45432</v>
      </c>
      <c r="E168" s="1" t="n">
        <v>46236</v>
      </c>
      <c r="F168" t="inlineStr">
        <is>
          <t>VÄRMLANDS LÄN</t>
        </is>
      </c>
      <c r="G168" t="inlineStr">
        <is>
          <t>GRUMS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46236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46236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45996</v>
      </c>
      <c r="E171" s="1" t="n">
        <v>46236</v>
      </c>
      <c r="F171" t="inlineStr">
        <is>
          <t>VÄRMLANDS LÄN</t>
        </is>
      </c>
      <c r="G171" t="inlineStr">
        <is>
          <t>GRUMS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46236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46236</v>
      </c>
      <c r="F173" t="inlineStr">
        <is>
          <t>VÄRMLANDS LÄN</t>
        </is>
      </c>
      <c r="G173" t="inlineStr">
        <is>
          <t>GRUMS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46236</v>
      </c>
      <c r="F174" t="inlineStr">
        <is>
          <t>VÄRMLANDS LÄN</t>
        </is>
      </c>
      <c r="G174" t="inlineStr">
        <is>
          <t>GRUMS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45343</v>
      </c>
      <c r="E175" s="1" t="n">
        <v>46236</v>
      </c>
      <c r="F175" t="inlineStr">
        <is>
          <t>VÄRMLANDS LÄN</t>
        </is>
      </c>
      <c r="G175" t="inlineStr">
        <is>
          <t>GRUMS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46236</v>
      </c>
      <c r="F176" t="inlineStr">
        <is>
          <t>VÄRMLANDS LÄN</t>
        </is>
      </c>
      <c r="G176" t="inlineStr">
        <is>
          <t>GRUMS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45391</v>
      </c>
      <c r="E177" s="1" t="n">
        <v>46236</v>
      </c>
      <c r="F177" t="inlineStr">
        <is>
          <t>VÄRMLANDS LÄN</t>
        </is>
      </c>
      <c r="G177" t="inlineStr">
        <is>
          <t>GRUMS</t>
        </is>
      </c>
      <c r="H177" t="inlineStr">
        <is>
          <t>Bergvik skog väst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46236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45757</v>
      </c>
      <c r="E179" s="1" t="n">
        <v>46236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46236</v>
      </c>
      <c r="F180" t="inlineStr">
        <is>
          <t>VÄRMLANDS LÄN</t>
        </is>
      </c>
      <c r="G180" t="inlineStr">
        <is>
          <t>GRUMS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46236</v>
      </c>
      <c r="F181" t="inlineStr">
        <is>
          <t>VÄRMLANDS LÄN</t>
        </is>
      </c>
      <c r="G181" t="inlineStr">
        <is>
          <t>GRUMS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45011</v>
      </c>
      <c r="E182" s="1" t="n">
        <v>46236</v>
      </c>
      <c r="F182" t="inlineStr">
        <is>
          <t>VÄRMLANDS LÄN</t>
        </is>
      </c>
      <c r="G182" t="inlineStr">
        <is>
          <t>GRUMS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46236</v>
      </c>
      <c r="F183" t="inlineStr">
        <is>
          <t>VÄRMLANDS LÄN</t>
        </is>
      </c>
      <c r="G183" t="inlineStr">
        <is>
          <t>GRUMS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46236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45670</v>
      </c>
      <c r="E185" s="1" t="n">
        <v>46236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45989</v>
      </c>
      <c r="E186" s="1" t="n">
        <v>46236</v>
      </c>
      <c r="F186" t="inlineStr">
        <is>
          <t>VÄRMLANDS LÄN</t>
        </is>
      </c>
      <c r="G186" t="inlineStr">
        <is>
          <t>GRUMS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73033-2021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46236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46236</v>
      </c>
      <c r="F188" t="inlineStr">
        <is>
          <t>VÄRMLANDS LÄN</t>
        </is>
      </c>
      <c r="G188" t="inlineStr">
        <is>
          <t>GRUMS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46236</v>
      </c>
      <c r="F189" t="inlineStr">
        <is>
          <t>VÄRMLANDS LÄN</t>
        </is>
      </c>
      <c r="G189" t="inlineStr">
        <is>
          <t>GRUMS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46214</v>
      </c>
      <c r="E190" s="1" t="n">
        <v>46236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46236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46236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46236</v>
      </c>
      <c r="F193" t="inlineStr">
        <is>
          <t>VÄRMLANDS LÄN</t>
        </is>
      </c>
      <c r="G193" t="inlineStr">
        <is>
          <t>GRUMS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45329</v>
      </c>
      <c r="E194" s="1" t="n">
        <v>46236</v>
      </c>
      <c r="F194" t="inlineStr">
        <is>
          <t>VÄRMLANDS LÄN</t>
        </is>
      </c>
      <c r="G194" t="inlineStr">
        <is>
          <t>GRUMS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69847-2021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44532</v>
      </c>
      <c r="E195" s="1" t="n">
        <v>46236</v>
      </c>
      <c r="F195" t="inlineStr">
        <is>
          <t>VÄRMLANDS LÄN</t>
        </is>
      </c>
      <c r="G195" t="inlineStr">
        <is>
          <t>GRUMS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46236</v>
      </c>
      <c r="F196" t="inlineStr">
        <is>
          <t>VÄRMLANDS LÄN</t>
        </is>
      </c>
      <c r="G196" t="inlineStr">
        <is>
          <t>GRUMS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46236</v>
      </c>
      <c r="F197" t="inlineStr">
        <is>
          <t>VÄRMLANDS LÄN</t>
        </is>
      </c>
      <c r="G197" t="inlineStr">
        <is>
          <t>GRUMS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39145-2021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46236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46039</v>
      </c>
      <c r="E199" s="1" t="n">
        <v>46236</v>
      </c>
      <c r="F199" t="inlineStr">
        <is>
          <t>VÄRMLANDS LÄN</t>
        </is>
      </c>
      <c r="G199" t="inlineStr">
        <is>
          <t>GRUMS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46236</v>
      </c>
      <c r="F200" t="inlineStr">
        <is>
          <t>VÄRMLANDS LÄN</t>
        </is>
      </c>
      <c r="G200" t="inlineStr">
        <is>
          <t>GRUMS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46224</v>
      </c>
      <c r="E201" s="1" t="n">
        <v>46236</v>
      </c>
      <c r="F201" t="inlineStr">
        <is>
          <t>VÄRMLANDS LÄN</t>
        </is>
      </c>
      <c r="G201" t="inlineStr">
        <is>
          <t>GRUMS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46181</v>
      </c>
      <c r="E202" s="1" t="n">
        <v>46236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46236</v>
      </c>
      <c r="F203" t="inlineStr">
        <is>
          <t>VÄRMLANDS LÄN</t>
        </is>
      </c>
      <c r="G203" t="inlineStr">
        <is>
          <t>GRUMS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46236</v>
      </c>
      <c r="F204" t="inlineStr">
        <is>
          <t>VÄRMLANDS LÄN</t>
        </is>
      </c>
      <c r="G204" t="inlineStr">
        <is>
          <t>GRUMS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46236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66056-2021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46236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46236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46236</v>
      </c>
      <c r="F208" t="inlineStr">
        <is>
          <t>VÄRMLANDS LÄN</t>
        </is>
      </c>
      <c r="G208" t="inlineStr">
        <is>
          <t>GRUMS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46236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46236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45061</v>
      </c>
      <c r="E211" s="1" t="n">
        <v>46236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46236</v>
      </c>
      <c r="F212" t="inlineStr">
        <is>
          <t>VÄRMLANDS LÄN</t>
        </is>
      </c>
      <c r="G212" t="inlineStr">
        <is>
          <t>GRUMS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45708</v>
      </c>
      <c r="E213" s="1" t="n">
        <v>46236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46236</v>
      </c>
      <c r="F214" t="inlineStr">
        <is>
          <t>VÄRMLANDS LÄN</t>
        </is>
      </c>
      <c r="G214" t="inlineStr">
        <is>
          <t>GRUMS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46236</v>
      </c>
      <c r="F215" t="inlineStr">
        <is>
          <t>VÄRMLANDS LÄN</t>
        </is>
      </c>
      <c r="G215" t="inlineStr">
        <is>
          <t>GRUMS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46236</v>
      </c>
      <c r="F216" t="inlineStr">
        <is>
          <t>VÄRMLANDS LÄN</t>
        </is>
      </c>
      <c r="G216" t="inlineStr">
        <is>
          <t>GRUMS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46236</v>
      </c>
      <c r="F217" t="inlineStr">
        <is>
          <t>VÄRMLANDS LÄN</t>
        </is>
      </c>
      <c r="G217" t="inlineStr">
        <is>
          <t>GRUMS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46236</v>
      </c>
      <c r="F218" t="inlineStr">
        <is>
          <t>VÄRMLANDS LÄN</t>
        </is>
      </c>
      <c r="G218" t="inlineStr">
        <is>
          <t>GRUMS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44762</v>
      </c>
      <c r="E219" s="1" t="n">
        <v>46236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46236</v>
      </c>
      <c r="F220" t="inlineStr">
        <is>
          <t>VÄRMLANDS LÄN</t>
        </is>
      </c>
      <c r="G220" t="inlineStr">
        <is>
          <t>GRUMS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46236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46236</v>
      </c>
      <c r="F222" t="inlineStr">
        <is>
          <t>VÄRMLANDS LÄN</t>
        </is>
      </c>
      <c r="G222" t="inlineStr">
        <is>
          <t>GRUMS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45240</v>
      </c>
      <c r="E223" s="1" t="n">
        <v>46236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46236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46236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14688-2026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46101</v>
      </c>
      <c r="E226" s="1" t="n">
        <v>46236</v>
      </c>
      <c r="F226" t="inlineStr">
        <is>
          <t>VÄRMLANDS LÄN</t>
        </is>
      </c>
      <c r="G226" t="inlineStr">
        <is>
          <t>GRUMS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46236</v>
      </c>
      <c r="F227" t="inlineStr">
        <is>
          <t>VÄRMLANDS LÄN</t>
        </is>
      </c>
      <c r="G227" t="inlineStr">
        <is>
          <t>GRUMS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44596</v>
      </c>
      <c r="E228" s="1" t="n">
        <v>46236</v>
      </c>
      <c r="F228" t="inlineStr">
        <is>
          <t>VÄRMLANDS LÄN</t>
        </is>
      </c>
      <c r="G228" t="inlineStr">
        <is>
          <t>GRUMS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46236</v>
      </c>
      <c r="F229" t="inlineStr">
        <is>
          <t>VÄRMLANDS LÄN</t>
        </is>
      </c>
      <c r="G229" t="inlineStr">
        <is>
          <t>GRUMS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46236</v>
      </c>
      <c r="F230" t="inlineStr">
        <is>
          <t>VÄRMLANDS LÄN</t>
        </is>
      </c>
      <c r="G230" t="inlineStr">
        <is>
          <t>GRUMS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44635</v>
      </c>
      <c r="E231" s="1" t="n">
        <v>46236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40935-2022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44823</v>
      </c>
      <c r="E232" s="1" t="n">
        <v>46236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46236</v>
      </c>
      <c r="F233" t="inlineStr">
        <is>
          <t>VÄRMLANDS LÄN</t>
        </is>
      </c>
      <c r="G233" t="inlineStr">
        <is>
          <t>GRUMS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46236</v>
      </c>
      <c r="F234" t="inlineStr">
        <is>
          <t>VÄRMLANDS LÄN</t>
        </is>
      </c>
      <c r="G234" t="inlineStr">
        <is>
          <t>GRUMS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46236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29724-2023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45107</v>
      </c>
      <c r="E236" s="1" t="n">
        <v>46236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46236</v>
      </c>
      <c r="F237" t="inlineStr">
        <is>
          <t>VÄRMLANDS LÄN</t>
        </is>
      </c>
      <c r="G237" t="inlineStr">
        <is>
          <t>GRUMS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46236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44861</v>
      </c>
      <c r="E239" s="1" t="n">
        <v>46236</v>
      </c>
      <c r="F239" t="inlineStr">
        <is>
          <t>VÄRMLANDS LÄN</t>
        </is>
      </c>
      <c r="G239" t="inlineStr">
        <is>
          <t>GRUMS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46236</v>
      </c>
      <c r="F240" t="inlineStr">
        <is>
          <t>VÄRMLANDS LÄN</t>
        </is>
      </c>
      <c r="G240" t="inlineStr">
        <is>
          <t>GRUMS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45729</v>
      </c>
      <c r="E241" s="1" t="n">
        <v>46236</v>
      </c>
      <c r="F241" t="inlineStr">
        <is>
          <t>VÄRMLANDS LÄN</t>
        </is>
      </c>
      <c r="G241" t="inlineStr">
        <is>
          <t>GRUMS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46236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37676-2023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45159</v>
      </c>
      <c r="E243" s="1" t="n">
        <v>46236</v>
      </c>
      <c r="F243" t="inlineStr">
        <is>
          <t>VÄRMLANDS LÄN</t>
        </is>
      </c>
      <c r="G243" t="inlineStr">
        <is>
          <t>GRUMS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46236</v>
      </c>
      <c r="F244" t="inlineStr">
        <is>
          <t>VÄRMLANDS LÄN</t>
        </is>
      </c>
      <c r="G244" t="inlineStr">
        <is>
          <t>GRUMS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46236</v>
      </c>
      <c r="F245" t="inlineStr">
        <is>
          <t>VÄRMLANDS LÄN</t>
        </is>
      </c>
      <c r="G245" t="inlineStr">
        <is>
          <t>GRUMS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46236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46236</v>
      </c>
      <c r="F247" t="inlineStr">
        <is>
          <t>VÄRMLANDS LÄN</t>
        </is>
      </c>
      <c r="G247" t="inlineStr">
        <is>
          <t>GRUMS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45300</v>
      </c>
      <c r="E248" s="1" t="n">
        <v>46236</v>
      </c>
      <c r="F248" t="inlineStr">
        <is>
          <t>VÄRMLANDS LÄN</t>
        </is>
      </c>
      <c r="G248" t="inlineStr">
        <is>
          <t>GRUMS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46236</v>
      </c>
      <c r="F249" t="inlineStr">
        <is>
          <t>VÄRMLANDS LÄN</t>
        </is>
      </c>
      <c r="G249" t="inlineStr">
        <is>
          <t>GRUMS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46236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44705</v>
      </c>
      <c r="E251" s="1" t="n">
        <v>46236</v>
      </c>
      <c r="F251" t="inlineStr">
        <is>
          <t>VÄRMLANDS LÄN</t>
        </is>
      </c>
      <c r="G251" t="inlineStr">
        <is>
          <t>GRUMS</t>
        </is>
      </c>
      <c r="I251" t="n">
        <v>12.4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22537-2025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45787</v>
      </c>
      <c r="E252" s="1" t="n">
        <v>46236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62554-2022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44924</v>
      </c>
      <c r="E253" s="1" t="n">
        <v>46236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46236</v>
      </c>
      <c r="F254" t="inlineStr">
        <is>
          <t>VÄRMLANDS LÄN</t>
        </is>
      </c>
      <c r="G254" t="inlineStr">
        <is>
          <t>GRUMS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46236</v>
      </c>
      <c r="F255" t="inlineStr">
        <is>
          <t>VÄRMLANDS LÄN</t>
        </is>
      </c>
      <c r="G255" t="inlineStr">
        <is>
          <t>GRUMS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45904</v>
      </c>
      <c r="E256" s="1" t="n">
        <v>46236</v>
      </c>
      <c r="F256" t="inlineStr">
        <is>
          <t>VÄRMLANDS LÄN</t>
        </is>
      </c>
      <c r="G256" t="inlineStr">
        <is>
          <t>GRUMS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46236</v>
      </c>
      <c r="F257" t="inlineStr">
        <is>
          <t>VÄRMLANDS LÄN</t>
        </is>
      </c>
      <c r="G257" t="inlineStr">
        <is>
          <t>GRUMS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46236</v>
      </c>
      <c r="F258" t="inlineStr">
        <is>
          <t>VÄRMLANDS LÄN</t>
        </is>
      </c>
      <c r="G258" t="inlineStr">
        <is>
          <t>GRUMS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46236</v>
      </c>
      <c r="F259" t="inlineStr">
        <is>
          <t>VÄRMLANDS LÄN</t>
        </is>
      </c>
      <c r="G259" t="inlineStr">
        <is>
          <t>GRUMS</t>
        </is>
      </c>
      <c r="H259" t="inlineStr">
        <is>
          <t>Bergvik skog väst AB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46236</v>
      </c>
      <c r="F260" t="inlineStr">
        <is>
          <t>VÄRMLANDS LÄN</t>
        </is>
      </c>
      <c r="G260" t="inlineStr">
        <is>
          <t>GRUMS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44784</v>
      </c>
      <c r="E261" s="1" t="n">
        <v>46236</v>
      </c>
      <c r="F261" t="inlineStr">
        <is>
          <t>VÄRMLANDS LÄN</t>
        </is>
      </c>
      <c r="G261" t="inlineStr">
        <is>
          <t>GRUMS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46236</v>
      </c>
      <c r="F262" t="inlineStr">
        <is>
          <t>VÄRMLANDS LÄN</t>
        </is>
      </c>
      <c r="G262" t="inlineStr">
        <is>
          <t>GRUMS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46236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46236</v>
      </c>
      <c r="F264" t="inlineStr">
        <is>
          <t>VÄRMLANDS LÄN</t>
        </is>
      </c>
      <c r="G264" t="inlineStr">
        <is>
          <t>GRUMS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46236</v>
      </c>
      <c r="F265" t="inlineStr">
        <is>
          <t>VÄRMLANDS LÄN</t>
        </is>
      </c>
      <c r="G265" t="inlineStr">
        <is>
          <t>GRUMS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46236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45152</v>
      </c>
      <c r="E267" s="1" t="n">
        <v>46236</v>
      </c>
      <c r="F267" t="inlineStr">
        <is>
          <t>VÄRMLANDS LÄN</t>
        </is>
      </c>
      <c r="G267" t="inlineStr">
        <is>
          <t>GRUMS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46236</v>
      </c>
      <c r="F268" t="inlineStr">
        <is>
          <t>VÄRMLANDS LÄN</t>
        </is>
      </c>
      <c r="G268" t="inlineStr">
        <is>
          <t>GRUMS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46236</v>
      </c>
      <c r="F269" t="inlineStr">
        <is>
          <t>VÄRMLANDS LÄN</t>
        </is>
      </c>
      <c r="G269" t="inlineStr">
        <is>
          <t>GRUMS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46236</v>
      </c>
      <c r="F270" t="inlineStr">
        <is>
          <t>VÄRMLANDS LÄN</t>
        </is>
      </c>
      <c r="G270" t="inlineStr">
        <is>
          <t>GRUMS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45836</v>
      </c>
      <c r="E271" s="1" t="n">
        <v>46236</v>
      </c>
      <c r="F271" t="inlineStr">
        <is>
          <t>VÄRMLANDS LÄN</t>
        </is>
      </c>
      <c r="G271" t="inlineStr">
        <is>
          <t>GRUMS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45708</v>
      </c>
      <c r="E272" s="1" t="n">
        <v>46236</v>
      </c>
      <c r="F272" t="inlineStr">
        <is>
          <t>VÄRMLANDS LÄN</t>
        </is>
      </c>
      <c r="G272" t="inlineStr">
        <is>
          <t>GRUMS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46236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45877</v>
      </c>
      <c r="E274" s="1" t="n">
        <v>46236</v>
      </c>
      <c r="F274" t="inlineStr">
        <is>
          <t>VÄRMLANDS LÄN</t>
        </is>
      </c>
      <c r="G274" t="inlineStr">
        <is>
          <t>GRUMS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46236</v>
      </c>
      <c r="F275" t="inlineStr">
        <is>
          <t>VÄRMLANDS LÄN</t>
        </is>
      </c>
      <c r="G275" t="inlineStr">
        <is>
          <t>GRUMS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46236</v>
      </c>
      <c r="F276" t="inlineStr">
        <is>
          <t>VÄRMLANDS LÄN</t>
        </is>
      </c>
      <c r="G276" t="inlineStr">
        <is>
          <t>GRUMS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46236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46236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46236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46236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46236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2026-08-02T01:55:41Z</dcterms:created>
  <dcterms:modified xmlns:dcterms="http://purl.org/dc/terms/" xmlns:xsi="http://www.w3.org/2001/XMLSchema-instance" xsi:type="dcterms:W3CDTF">2026-08-02T01:55:41Z</dcterms:modified>
</cp:coreProperties>
</file>