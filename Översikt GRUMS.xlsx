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46228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46228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46228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46228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46228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46228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46228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46228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46228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46228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46228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46228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46228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46228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46228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46228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46228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46228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46228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46228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46228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46228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46228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46228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HYPERLINK("https://klasma.github.io/Logging_1764/artfynd/A 29582-2024 artfynd.xlsx", "A 29582-2024")</f>
        <v/>
      </c>
      <c r="X25">
        <f>HYPERLINK("https://klasma.github.io/Logging_1764/kartor/A 29582-2024 karta.png", "A 29582-2024")</f>
        <v/>
      </c>
      <c r="Y25">
        <f>HYPERLINK("https://klasma.github.io/Logging_1764/kartor_geotiff/A 29582-2024 georefererad karta.tif", "A 29582-2024")</f>
        <v/>
      </c>
      <c r="AA25">
        <f>HYPERLINK("https://klasma.github.io/Logging_1764/klagomål/A 29582-2024 FSC-klagomål.docx", "A 29582-2024")</f>
        <v/>
      </c>
      <c r="AB25">
        <f>HYPERLINK("https://klasma.github.io/Logging_1764/klagomålsmail/A 29582-2024 FSC-klagomål mail.docx", "A 29582-2024")</f>
        <v/>
      </c>
      <c r="AC25">
        <f>HYPERLINK("https://klasma.github.io/Logging_1764/tillsyn/A 29582-2024 tillsynsbegäran.docx", "A 29582-2024")</f>
        <v/>
      </c>
      <c r="AD25">
        <f>HYPERLINK("https://klasma.github.io/Logging_1764/tillsynsmail/A 29582-2024 tillsynsbegäran mail.docx", "A 29582-2024")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46228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HYPERLINK("https://klasma.github.io/Logging_1764/artfynd/A 13121-2023 artfynd.xlsx", "A 13121-2023")</f>
        <v/>
      </c>
      <c r="X26">
        <f>HYPERLINK("https://klasma.github.io/Logging_1764/kartor/A 13121-2023 karta.png", "A 13121-2023")</f>
        <v/>
      </c>
      <c r="Y26">
        <f>HYPERLINK("https://klasma.github.io/Logging_1764/kartor_geotiff/A 13121-2023 georefererad karta.tif", "A 13121-2023")</f>
        <v/>
      </c>
      <c r="AA26">
        <f>HYPERLINK("https://klasma.github.io/Logging_1764/klagomål/A 13121-2023 FSC-klagomål.docx", "A 13121-2023")</f>
        <v/>
      </c>
      <c r="AB26">
        <f>HYPERLINK("https://klasma.github.io/Logging_1764/klagomålsmail/A 13121-2023 FSC-klagomål mail.docx", "A 13121-2023")</f>
        <v/>
      </c>
      <c r="AC26">
        <f>HYPERLINK("https://klasma.github.io/Logging_1764/tillsyn/A 13121-2023 tillsynsbegäran.docx", "A 13121-2023")</f>
        <v/>
      </c>
      <c r="AD26">
        <f>HYPERLINK("https://klasma.github.io/Logging_1764/tillsynsmail/A 13121-2023 tillsynsbegäran mail.docx", "A 13121-2023")</f>
        <v/>
      </c>
    </row>
    <row r="27" ht="15" customHeight="1">
      <c r="A27" t="inlineStr">
        <is>
          <t>A 15321-2023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46228</v>
      </c>
      <c r="F27" t="inlineStr">
        <is>
          <t>VÄRMLANDS LÄN</t>
        </is>
      </c>
      <c r="G27" t="inlineStr">
        <is>
          <t>GRUMS</t>
        </is>
      </c>
      <c r="I27" t="n">
        <v>5.2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Vätteros</t>
        </is>
      </c>
      <c r="W27">
        <f>HYPERLINK("https://klasma.github.io/Logging_1764/artfynd/A 15321-2023 artfynd.xlsx", "A 15321-2023")</f>
        <v/>
      </c>
      <c r="X27">
        <f>HYPERLINK("https://klasma.github.io/Logging_1764/kartor/A 15321-2023 karta.png", "A 15321-2023")</f>
        <v/>
      </c>
      <c r="Y27">
        <f>HYPERLINK("https://klasma.github.io/Logging_1764/kartor_geotiff/A 15321-2023 georefererad karta.tif", "A 15321-2023")</f>
        <v/>
      </c>
      <c r="AA27">
        <f>HYPERLINK("https://klasma.github.io/Logging_1764/klagomål/A 15321-2023 FSC-klagomål.docx", "A 15321-2023")</f>
        <v/>
      </c>
      <c r="AB27">
        <f>HYPERLINK("https://klasma.github.io/Logging_1764/klagomålsmail/A 15321-2023 FSC-klagomål mail.docx", "A 15321-2023")</f>
        <v/>
      </c>
      <c r="AC27">
        <f>HYPERLINK("https://klasma.github.io/Logging_1764/tillsyn/A 15321-2023 tillsynsbegäran.docx", "A 15321-2023")</f>
        <v/>
      </c>
      <c r="AD27">
        <f>HYPERLINK("https://klasma.github.io/Logging_1764/tillsynsmail/A 15321-2023 tillsynsbegäran mail.docx", "A 15321-2023")</f>
        <v/>
      </c>
    </row>
    <row r="28" ht="15" customHeight="1">
      <c r="A28" t="inlineStr">
        <is>
          <t>A 30411-2025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46228</v>
      </c>
      <c r="F28" t="inlineStr">
        <is>
          <t>VÄRMLANDS LÄN</t>
        </is>
      </c>
      <c r="G28" t="inlineStr">
        <is>
          <t>GRUMS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HYPERLINK("https://klasma.github.io/Logging_1764/artfynd/A 30411-2025 artfynd.xlsx", "A 30411-2025")</f>
        <v/>
      </c>
      <c r="X28">
        <f>HYPERLINK("https://klasma.github.io/Logging_1764/kartor/A 30411-2025 karta.png", "A 30411-2025")</f>
        <v/>
      </c>
      <c r="Y28">
        <f>HYPERLINK("https://klasma.github.io/Logging_1764/kartor_geotiff/A 30411-2025 georefererad karta.tif", "A 30411-2025")</f>
        <v/>
      </c>
      <c r="AA28">
        <f>HYPERLINK("https://klasma.github.io/Logging_1764/klagomål/A 30411-2025 FSC-klagomål.docx", "A 30411-2025")</f>
        <v/>
      </c>
      <c r="AB28">
        <f>HYPERLINK("https://klasma.github.io/Logging_1764/klagomålsmail/A 30411-2025 FSC-klagomål mail.docx", "A 30411-2025")</f>
        <v/>
      </c>
      <c r="AC28">
        <f>HYPERLINK("https://klasma.github.io/Logging_1764/tillsyn/A 30411-2025 tillsynsbegäran.docx", "A 30411-2025")</f>
        <v/>
      </c>
      <c r="AD28">
        <f>HYPERLINK("https://klasma.github.io/Logging_1764/tillsynsmail/A 30411-2025 tillsynsbegäran mail.docx", "A 30411-2025")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46228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46228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46228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7931-2025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45706</v>
      </c>
      <c r="E32" s="1" t="n">
        <v>46228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HYPERLINK("https://klasma.github.io/Logging_1764/artfynd/A 7931-2025 artfynd.xlsx", "A 7931-2025")</f>
        <v/>
      </c>
      <c r="X32">
        <f>HYPERLINK("https://klasma.github.io/Logging_1764/kartor/A 7931-2025 karta.png", "A 7931-2025")</f>
        <v/>
      </c>
      <c r="Y32">
        <f>HYPERLINK("https://klasma.github.io/Logging_1764/kartor_geotiff/A 7931-2025 georefererad karta.tif", "A 7931-2025")</f>
        <v/>
      </c>
      <c r="AA32">
        <f>HYPERLINK("https://klasma.github.io/Logging_1764/klagomål/A 7931-2025 FSC-klagomål.docx", "A 7931-2025")</f>
        <v/>
      </c>
      <c r="AB32">
        <f>HYPERLINK("https://klasma.github.io/Logging_1764/klagomålsmail/A 7931-2025 FSC-klagomål mail.docx", "A 7931-2025")</f>
        <v/>
      </c>
      <c r="AC32">
        <f>HYPERLINK("https://klasma.github.io/Logging_1764/tillsyn/A 7931-2025 tillsynsbegäran.docx", "A 7931-2025")</f>
        <v/>
      </c>
      <c r="AD32">
        <f>HYPERLINK("https://klasma.github.io/Logging_1764/tillsynsmail/A 7931-2025 tillsynsbegäran mail.docx", "A 7931-2025")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46228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46228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46228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46228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46228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46228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46228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46228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46228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46228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46228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46228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46228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46228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46228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46228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46228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46228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46228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46228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46228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46228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46228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46228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46228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46228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46228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46228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46228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46228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46228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46228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46228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46228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46228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46228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46228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46228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46228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46228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46228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46228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46228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44577</v>
      </c>
      <c r="E76" s="1" t="n">
        <v>46228</v>
      </c>
      <c r="F76" t="inlineStr">
        <is>
          <t>VÄRMLANDS LÄN</t>
        </is>
      </c>
      <c r="G76" t="inlineStr">
        <is>
          <t>GRUMS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46228</v>
      </c>
      <c r="F77" t="inlineStr">
        <is>
          <t>VÄRMLANDS LÄN</t>
        </is>
      </c>
      <c r="G77" t="inlineStr">
        <is>
          <t>GRUMS</t>
        </is>
      </c>
      <c r="H77" t="inlineStr">
        <is>
          <t>Bergvik skog väst AB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46228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46228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46228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46228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46228</v>
      </c>
      <c r="F82" t="inlineStr">
        <is>
          <t>VÄRMLANDS LÄN</t>
        </is>
      </c>
      <c r="G82" t="inlineStr">
        <is>
          <t>GRUMS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46228</v>
      </c>
      <c r="F83" t="inlineStr">
        <is>
          <t>VÄRMLANDS LÄN</t>
        </is>
      </c>
      <c r="G83" t="inlineStr">
        <is>
          <t>GRUMS</t>
        </is>
      </c>
      <c r="I83" t="n">
        <v>14.3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46228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73901-2021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46228</v>
      </c>
      <c r="F85" t="inlineStr">
        <is>
          <t>VÄRMLANDS LÄN</t>
        </is>
      </c>
      <c r="G85" t="inlineStr">
        <is>
          <t>GRUMS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73033-2021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46228</v>
      </c>
      <c r="F86" t="inlineStr">
        <is>
          <t>VÄRMLANDS LÄN</t>
        </is>
      </c>
      <c r="G86" t="inlineStr">
        <is>
          <t>GRUMS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46228</v>
      </c>
      <c r="F87" t="inlineStr">
        <is>
          <t>VÄRMLANDS LÄN</t>
        </is>
      </c>
      <c r="G87" t="inlineStr">
        <is>
          <t>GRUMS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28228-2024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46228</v>
      </c>
      <c r="F88" t="inlineStr">
        <is>
          <t>VÄRMLANDS LÄN</t>
        </is>
      </c>
      <c r="G88" t="inlineStr">
        <is>
          <t>GRUMS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45245</v>
      </c>
      <c r="E89" s="1" t="n">
        <v>46228</v>
      </c>
      <c r="F89" t="inlineStr">
        <is>
          <t>VÄRMLANDS LÄN</t>
        </is>
      </c>
      <c r="G89" t="inlineStr">
        <is>
          <t>GRUMS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46228</v>
      </c>
      <c r="F90" t="inlineStr">
        <is>
          <t>VÄRMLANDS LÄN</t>
        </is>
      </c>
      <c r="G90" t="inlineStr">
        <is>
          <t>GRUMS</t>
        </is>
      </c>
      <c r="I90" t="n">
        <v>18.2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44963</v>
      </c>
      <c r="E91" s="1" t="n">
        <v>46228</v>
      </c>
      <c r="F91" t="inlineStr">
        <is>
          <t>VÄRMLANDS LÄN</t>
        </is>
      </c>
      <c r="G91" t="inlineStr">
        <is>
          <t>GRUMS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46228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46228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46228</v>
      </c>
      <c r="F94" t="inlineStr">
        <is>
          <t>VÄRMLANDS LÄN</t>
        </is>
      </c>
      <c r="G94" t="inlineStr">
        <is>
          <t>GRUMS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46228</v>
      </c>
      <c r="F95" t="inlineStr">
        <is>
          <t>VÄRMLANDS LÄN</t>
        </is>
      </c>
      <c r="G95" t="inlineStr">
        <is>
          <t>GRUMS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18341-2025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45762</v>
      </c>
      <c r="E96" s="1" t="n">
        <v>46228</v>
      </c>
      <c r="F96" t="inlineStr">
        <is>
          <t>VÄRMLANDS LÄN</t>
        </is>
      </c>
      <c r="G96" t="inlineStr">
        <is>
          <t>GRUMS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46228</v>
      </c>
      <c r="F97" t="inlineStr">
        <is>
          <t>VÄRMLANDS LÄN</t>
        </is>
      </c>
      <c r="G97" t="inlineStr">
        <is>
          <t>GRUMS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46228</v>
      </c>
      <c r="F98" t="inlineStr">
        <is>
          <t>VÄRMLANDS LÄN</t>
        </is>
      </c>
      <c r="G98" t="inlineStr">
        <is>
          <t>GRUMS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44468</v>
      </c>
      <c r="E99" s="1" t="n">
        <v>46228</v>
      </c>
      <c r="F99" t="inlineStr">
        <is>
          <t>VÄRMLANDS LÄN</t>
        </is>
      </c>
      <c r="G99" t="inlineStr">
        <is>
          <t>GRUMS</t>
        </is>
      </c>
      <c r="I99" t="n">
        <v>11.6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45310</v>
      </c>
      <c r="E100" s="1" t="n">
        <v>46228</v>
      </c>
      <c r="F100" t="inlineStr">
        <is>
          <t>VÄRMLANDS LÄN</t>
        </is>
      </c>
      <c r="G100" t="inlineStr">
        <is>
          <t>GRUMS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46228</v>
      </c>
      <c r="F101" t="inlineStr">
        <is>
          <t>VÄRMLANDS LÄN</t>
        </is>
      </c>
      <c r="G101" t="inlineStr">
        <is>
          <t>GRUMS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45336</v>
      </c>
      <c r="E102" s="1" t="n">
        <v>46228</v>
      </c>
      <c r="F102" t="inlineStr">
        <is>
          <t>VÄRMLANDS LÄN</t>
        </is>
      </c>
      <c r="G102" t="inlineStr">
        <is>
          <t>GRUMS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46228</v>
      </c>
      <c r="F103" t="inlineStr">
        <is>
          <t>VÄRMLANDS LÄN</t>
        </is>
      </c>
      <c r="G103" t="inlineStr">
        <is>
          <t>GRUMS</t>
        </is>
      </c>
      <c r="H103" t="inlineStr">
        <is>
          <t>Bergvik skog väst AB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46228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46228</v>
      </c>
      <c r="F105" t="inlineStr">
        <is>
          <t>VÄRMLANDS LÄN</t>
        </is>
      </c>
      <c r="G105" t="inlineStr">
        <is>
          <t>GRUMS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46228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45300</v>
      </c>
      <c r="E107" s="1" t="n">
        <v>46228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46228</v>
      </c>
      <c r="F108" t="inlineStr">
        <is>
          <t>VÄRMLANDS LÄN</t>
        </is>
      </c>
      <c r="G108" t="inlineStr">
        <is>
          <t>GRUMS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46228</v>
      </c>
      <c r="F109" t="inlineStr">
        <is>
          <t>VÄRMLANDS LÄN</t>
        </is>
      </c>
      <c r="G109" t="inlineStr">
        <is>
          <t>GRUMS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46228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45441</v>
      </c>
      <c r="E111" s="1" t="n">
        <v>46228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46228</v>
      </c>
      <c r="F112" t="inlineStr">
        <is>
          <t>VÄRMLANDS LÄN</t>
        </is>
      </c>
      <c r="G112" t="inlineStr">
        <is>
          <t>GRUMS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46228</v>
      </c>
      <c r="F113" t="inlineStr">
        <is>
          <t>VÄRMLANDS LÄN</t>
        </is>
      </c>
      <c r="G113" t="inlineStr">
        <is>
          <t>GRUMS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45049</v>
      </c>
      <c r="E114" s="1" t="n">
        <v>46228</v>
      </c>
      <c r="F114" t="inlineStr">
        <is>
          <t>VÄRMLANDS LÄN</t>
        </is>
      </c>
      <c r="G114" t="inlineStr">
        <is>
          <t>GRUMS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46228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62896-2023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45272</v>
      </c>
      <c r="E116" s="1" t="n">
        <v>46228</v>
      </c>
      <c r="F116" t="inlineStr">
        <is>
          <t>VÄRMLANDS LÄN</t>
        </is>
      </c>
      <c r="G116" t="inlineStr">
        <is>
          <t>GRUMS</t>
        </is>
      </c>
      <c r="I116" t="n">
        <v>13.8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46228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69847-2021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44532</v>
      </c>
      <c r="E118" s="1" t="n">
        <v>46228</v>
      </c>
      <c r="F118" t="inlineStr">
        <is>
          <t>VÄRMLANDS LÄN</t>
        </is>
      </c>
      <c r="G118" t="inlineStr">
        <is>
          <t>GRUMS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45070</v>
      </c>
      <c r="E119" s="1" t="n">
        <v>46228</v>
      </c>
      <c r="F119" t="inlineStr">
        <is>
          <t>VÄRMLANDS LÄN</t>
        </is>
      </c>
      <c r="G119" t="inlineStr">
        <is>
          <t>GRUMS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46228</v>
      </c>
      <c r="F120" t="inlineStr">
        <is>
          <t>VÄRMLANDS LÄN</t>
        </is>
      </c>
      <c r="G120" t="inlineStr">
        <is>
          <t>GRUMS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46228</v>
      </c>
      <c r="F121" t="inlineStr">
        <is>
          <t>VÄRMLANDS LÄN</t>
        </is>
      </c>
      <c r="G121" t="inlineStr">
        <is>
          <t>GRUMS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45877</v>
      </c>
      <c r="E122" s="1" t="n">
        <v>46228</v>
      </c>
      <c r="F122" t="inlineStr">
        <is>
          <t>VÄRMLANDS LÄN</t>
        </is>
      </c>
      <c r="G122" t="inlineStr">
        <is>
          <t>GRUMS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46228</v>
      </c>
      <c r="F123" t="inlineStr">
        <is>
          <t>VÄRMLANDS LÄN</t>
        </is>
      </c>
      <c r="G123" t="inlineStr">
        <is>
          <t>GRUMS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46228</v>
      </c>
      <c r="F124" t="inlineStr">
        <is>
          <t>VÄRMLANDS LÄN</t>
        </is>
      </c>
      <c r="G124" t="inlineStr">
        <is>
          <t>GRUMS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46228</v>
      </c>
      <c r="F125" t="inlineStr">
        <is>
          <t>VÄRMLANDS LÄN</t>
        </is>
      </c>
      <c r="G125" t="inlineStr">
        <is>
          <t>GRUMS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46024</v>
      </c>
      <c r="E126" s="1" t="n">
        <v>46228</v>
      </c>
      <c r="F126" t="inlineStr">
        <is>
          <t>VÄRMLANDS LÄN</t>
        </is>
      </c>
      <c r="G126" t="inlineStr">
        <is>
          <t>GRUMS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44785</v>
      </c>
      <c r="E127" s="1" t="n">
        <v>46228</v>
      </c>
      <c r="F127" t="inlineStr">
        <is>
          <t>VÄRMLANDS LÄN</t>
        </is>
      </c>
      <c r="G127" t="inlineStr">
        <is>
          <t>GRUMS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25840-2024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45467</v>
      </c>
      <c r="E128" s="1" t="n">
        <v>46228</v>
      </c>
      <c r="F128" t="inlineStr">
        <is>
          <t>VÄRMLANDS LÄN</t>
        </is>
      </c>
      <c r="G128" t="inlineStr">
        <is>
          <t>GRUMS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46228</v>
      </c>
      <c r="F129" t="inlineStr">
        <is>
          <t>VÄRMLANDS LÄN</t>
        </is>
      </c>
      <c r="G129" t="inlineStr">
        <is>
          <t>GRUMS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45159</v>
      </c>
      <c r="E130" s="1" t="n">
        <v>46228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46228</v>
      </c>
      <c r="F131" t="inlineStr">
        <is>
          <t>VÄRMLANDS LÄN</t>
        </is>
      </c>
      <c r="G131" t="inlineStr">
        <is>
          <t>GRUMS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46228</v>
      </c>
      <c r="F132" t="inlineStr">
        <is>
          <t>VÄRMLANDS LÄN</t>
        </is>
      </c>
      <c r="G132" t="inlineStr">
        <is>
          <t>GRUMS</t>
        </is>
      </c>
      <c r="I132" t="n">
        <v>9.5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46228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44795</v>
      </c>
      <c r="E134" s="1" t="n">
        <v>46228</v>
      </c>
      <c r="F134" t="inlineStr">
        <is>
          <t>VÄRMLANDS LÄN</t>
        </is>
      </c>
      <c r="G134" t="inlineStr">
        <is>
          <t>GRUMS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46228</v>
      </c>
      <c r="F135" t="inlineStr">
        <is>
          <t>VÄRMLANDS LÄN</t>
        </is>
      </c>
      <c r="G135" t="inlineStr">
        <is>
          <t>GRUMS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44831</v>
      </c>
      <c r="E136" s="1" t="n">
        <v>46228</v>
      </c>
      <c r="F136" t="inlineStr">
        <is>
          <t>VÄRMLANDS LÄN</t>
        </is>
      </c>
      <c r="G136" t="inlineStr">
        <is>
          <t>GRUMS</t>
        </is>
      </c>
      <c r="I136" t="n">
        <v>13.7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44797</v>
      </c>
      <c r="E137" s="1" t="n">
        <v>46228</v>
      </c>
      <c r="F137" t="inlineStr">
        <is>
          <t>VÄRMLANDS LÄN</t>
        </is>
      </c>
      <c r="G137" t="inlineStr">
        <is>
          <t>GRUMS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46228</v>
      </c>
      <c r="F138" t="inlineStr">
        <is>
          <t>VÄRMLANDS LÄN</t>
        </is>
      </c>
      <c r="G138" t="inlineStr">
        <is>
          <t>GRUMS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21248-2022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46228</v>
      </c>
      <c r="F139" t="inlineStr">
        <is>
          <t>VÄRMLANDS LÄN</t>
        </is>
      </c>
      <c r="G139" t="inlineStr">
        <is>
          <t>GRUMS</t>
        </is>
      </c>
      <c r="I139" t="n">
        <v>12.4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46228</v>
      </c>
      <c r="F140" t="inlineStr">
        <is>
          <t>VÄRMLANDS LÄN</t>
        </is>
      </c>
      <c r="G140" t="inlineStr">
        <is>
          <t>GRUMS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46228</v>
      </c>
      <c r="F141" t="inlineStr">
        <is>
          <t>VÄRMLANDS LÄN</t>
        </is>
      </c>
      <c r="G141" t="inlineStr">
        <is>
          <t>GRUMS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46228</v>
      </c>
      <c r="F142" t="inlineStr">
        <is>
          <t>VÄRMLANDS LÄN</t>
        </is>
      </c>
      <c r="G142" t="inlineStr">
        <is>
          <t>GRUMS</t>
        </is>
      </c>
      <c r="H142" t="inlineStr">
        <is>
          <t>Bergvik skog väst AB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45923</v>
      </c>
      <c r="E143" s="1" t="n">
        <v>46228</v>
      </c>
      <c r="F143" t="inlineStr">
        <is>
          <t>VÄRMLANDS LÄN</t>
        </is>
      </c>
      <c r="G143" t="inlineStr">
        <is>
          <t>GRUMS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46228</v>
      </c>
      <c r="F144" t="inlineStr">
        <is>
          <t>VÄRMLANDS LÄN</t>
        </is>
      </c>
      <c r="G144" t="inlineStr">
        <is>
          <t>GRUMS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46228</v>
      </c>
      <c r="F145" t="inlineStr">
        <is>
          <t>VÄRMLANDS LÄN</t>
        </is>
      </c>
      <c r="G145" t="inlineStr">
        <is>
          <t>GRUMS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45757</v>
      </c>
      <c r="E146" s="1" t="n">
        <v>46228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31362-2024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45505</v>
      </c>
      <c r="E147" s="1" t="n">
        <v>46228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46228</v>
      </c>
      <c r="F148" t="inlineStr">
        <is>
          <t>VÄRMLANDS LÄN</t>
        </is>
      </c>
      <c r="G148" t="inlineStr">
        <is>
          <t>GRUMS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45691</v>
      </c>
      <c r="E149" s="1" t="n">
        <v>46228</v>
      </c>
      <c r="F149" t="inlineStr">
        <is>
          <t>VÄRMLANDS LÄN</t>
        </is>
      </c>
      <c r="G149" t="inlineStr">
        <is>
          <t>GRUMS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46228</v>
      </c>
      <c r="F150" t="inlineStr">
        <is>
          <t>VÄRMLANDS LÄN</t>
        </is>
      </c>
      <c r="G150" t="inlineStr">
        <is>
          <t>GRUMS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46228</v>
      </c>
      <c r="F151" t="inlineStr">
        <is>
          <t>VÄRMLANDS LÄN</t>
        </is>
      </c>
      <c r="G151" t="inlineStr">
        <is>
          <t>GRUMS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46228</v>
      </c>
      <c r="F152" t="inlineStr">
        <is>
          <t>VÄRMLANDS LÄN</t>
        </is>
      </c>
      <c r="G152" t="inlineStr">
        <is>
          <t>GRUMS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45412</v>
      </c>
      <c r="E153" s="1" t="n">
        <v>46228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46228</v>
      </c>
      <c r="F154" t="inlineStr">
        <is>
          <t>VÄRMLANDS LÄN</t>
        </is>
      </c>
      <c r="G154" t="inlineStr">
        <is>
          <t>GRUMS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46228</v>
      </c>
      <c r="F155" t="inlineStr">
        <is>
          <t>VÄRMLANDS LÄN</t>
        </is>
      </c>
      <c r="G155" t="inlineStr">
        <is>
          <t>GRUMS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46228</v>
      </c>
      <c r="F156" t="inlineStr">
        <is>
          <t>VÄRMLANDS LÄN</t>
        </is>
      </c>
      <c r="G156" t="inlineStr">
        <is>
          <t>GRUMS</t>
        </is>
      </c>
      <c r="I156" t="n">
        <v>22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46228</v>
      </c>
      <c r="F157" t="inlineStr">
        <is>
          <t>VÄRMLANDS LÄN</t>
        </is>
      </c>
      <c r="G157" t="inlineStr">
        <is>
          <t>GRUMS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51509-2025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45950</v>
      </c>
      <c r="E158" s="1" t="n">
        <v>46228</v>
      </c>
      <c r="F158" t="inlineStr">
        <is>
          <t>VÄRMLANDS LÄN</t>
        </is>
      </c>
      <c r="G158" t="inlineStr">
        <is>
          <t>GRUMS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45956</v>
      </c>
      <c r="E159" s="1" t="n">
        <v>46228</v>
      </c>
      <c r="F159" t="inlineStr">
        <is>
          <t>VÄRMLANDS LÄN</t>
        </is>
      </c>
      <c r="G159" t="inlineStr">
        <is>
          <t>GRUMS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45956</v>
      </c>
      <c r="E160" s="1" t="n">
        <v>46228</v>
      </c>
      <c r="F160" t="inlineStr">
        <is>
          <t>VÄRMLANDS LÄN</t>
        </is>
      </c>
      <c r="G160" t="inlineStr">
        <is>
          <t>GRUMS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46228</v>
      </c>
      <c r="F161" t="inlineStr">
        <is>
          <t>VÄRMLANDS LÄN</t>
        </is>
      </c>
      <c r="G161" t="inlineStr">
        <is>
          <t>GRUMS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45271</v>
      </c>
      <c r="E162" s="1" t="n">
        <v>46228</v>
      </c>
      <c r="F162" t="inlineStr">
        <is>
          <t>VÄRMLANDS LÄN</t>
        </is>
      </c>
      <c r="G162" t="inlineStr">
        <is>
          <t>GRUMS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46228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46228</v>
      </c>
      <c r="F164" t="inlineStr">
        <is>
          <t>VÄRMLANDS LÄN</t>
        </is>
      </c>
      <c r="G164" t="inlineStr">
        <is>
          <t>GRUMS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31930-2024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45510</v>
      </c>
      <c r="E165" s="1" t="n">
        <v>46228</v>
      </c>
      <c r="F165" t="inlineStr">
        <is>
          <t>VÄRMLANDS LÄN</t>
        </is>
      </c>
      <c r="G165" t="inlineStr">
        <is>
          <t>GRUMS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46228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40935-2022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46228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45343</v>
      </c>
      <c r="E168" s="1" t="n">
        <v>46228</v>
      </c>
      <c r="F168" t="inlineStr">
        <is>
          <t>VÄRMLANDS LÄN</t>
        </is>
      </c>
      <c r="G168" t="inlineStr">
        <is>
          <t>GRUMS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46228</v>
      </c>
      <c r="F169" t="inlineStr">
        <is>
          <t>VÄRMLANDS LÄN</t>
        </is>
      </c>
      <c r="G169" t="inlineStr">
        <is>
          <t>GRUMS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46228</v>
      </c>
      <c r="F170" t="inlineStr">
        <is>
          <t>VÄRMLANDS LÄN</t>
        </is>
      </c>
      <c r="G170" t="inlineStr">
        <is>
          <t>GRUMS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45011</v>
      </c>
      <c r="E171" s="1" t="n">
        <v>46228</v>
      </c>
      <c r="F171" t="inlineStr">
        <is>
          <t>VÄRMLANDS LÄN</t>
        </is>
      </c>
      <c r="G171" t="inlineStr">
        <is>
          <t>GRUMS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46228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46228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46228</v>
      </c>
      <c r="F174" t="inlineStr">
        <is>
          <t>VÄRMLANDS LÄN</t>
        </is>
      </c>
      <c r="G174" t="inlineStr">
        <is>
          <t>GRUMS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46228</v>
      </c>
      <c r="F175" t="inlineStr">
        <is>
          <t>VÄRMLANDS LÄN</t>
        </is>
      </c>
      <c r="G175" t="inlineStr">
        <is>
          <t>GRUMS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46228</v>
      </c>
      <c r="F176" t="inlineStr">
        <is>
          <t>VÄRMLANDS LÄN</t>
        </is>
      </c>
      <c r="G176" t="inlineStr">
        <is>
          <t>GRUMS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46228</v>
      </c>
      <c r="F177" t="inlineStr">
        <is>
          <t>VÄRMLANDS LÄN</t>
        </is>
      </c>
      <c r="G177" t="inlineStr">
        <is>
          <t>GRUMS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44924</v>
      </c>
      <c r="E178" s="1" t="n">
        <v>46228</v>
      </c>
      <c r="F178" t="inlineStr">
        <is>
          <t>VÄRMLANDS LÄN</t>
        </is>
      </c>
      <c r="G178" t="inlineStr">
        <is>
          <t>GRUMS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22406-2026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46228</v>
      </c>
      <c r="F179" t="inlineStr">
        <is>
          <t>VÄRMLANDS LÄN</t>
        </is>
      </c>
      <c r="G179" t="inlineStr">
        <is>
          <t>GRUMS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45441</v>
      </c>
      <c r="E180" s="1" t="n">
        <v>46228</v>
      </c>
      <c r="F180" t="inlineStr">
        <is>
          <t>VÄRMLANDS LÄN</t>
        </is>
      </c>
      <c r="G180" t="inlineStr">
        <is>
          <t>GRUMS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46228</v>
      </c>
      <c r="F181" t="inlineStr">
        <is>
          <t>VÄRMLANDS LÄN</t>
        </is>
      </c>
      <c r="G181" t="inlineStr">
        <is>
          <t>GRUMS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45427</v>
      </c>
      <c r="E182" s="1" t="n">
        <v>46228</v>
      </c>
      <c r="F182" t="inlineStr">
        <is>
          <t>VÄRMLANDS LÄN</t>
        </is>
      </c>
      <c r="G182" t="inlineStr">
        <is>
          <t>GRUMS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45989</v>
      </c>
      <c r="E183" s="1" t="n">
        <v>46228</v>
      </c>
      <c r="F183" t="inlineStr">
        <is>
          <t>VÄRMLANDS LÄN</t>
        </is>
      </c>
      <c r="G183" t="inlineStr">
        <is>
          <t>GRUMS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44627</v>
      </c>
      <c r="E184" s="1" t="n">
        <v>46228</v>
      </c>
      <c r="F184" t="inlineStr">
        <is>
          <t>VÄRMLANDS LÄN</t>
        </is>
      </c>
      <c r="G184" t="inlineStr">
        <is>
          <t>GRUMS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44753</v>
      </c>
      <c r="E185" s="1" t="n">
        <v>46228</v>
      </c>
      <c r="F185" t="inlineStr">
        <is>
          <t>VÄRMLANDS LÄN</t>
        </is>
      </c>
      <c r="G185" t="inlineStr">
        <is>
          <t>GRUMS</t>
        </is>
      </c>
      <c r="H185" t="inlineStr">
        <is>
          <t>Bergvik skog väst AB</t>
        </is>
      </c>
      <c r="I185" t="n">
        <v>14.4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46228</v>
      </c>
      <c r="F186" t="inlineStr">
        <is>
          <t>VÄRMLANDS LÄN</t>
        </is>
      </c>
      <c r="G186" t="inlineStr">
        <is>
          <t>GRUMS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46228</v>
      </c>
      <c r="F187" t="inlineStr">
        <is>
          <t>VÄRMLANDS LÄN</t>
        </is>
      </c>
      <c r="G187" t="inlineStr">
        <is>
          <t>GRUMS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45188</v>
      </c>
      <c r="E188" s="1" t="n">
        <v>46228</v>
      </c>
      <c r="F188" t="inlineStr">
        <is>
          <t>VÄRMLANDS LÄN</t>
        </is>
      </c>
      <c r="G188" t="inlineStr">
        <is>
          <t>GRUMS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44432</v>
      </c>
      <c r="E189" s="1" t="n">
        <v>46228</v>
      </c>
      <c r="F189" t="inlineStr">
        <is>
          <t>VÄRMLANDS LÄN</t>
        </is>
      </c>
      <c r="G189" t="inlineStr">
        <is>
          <t>GRUMS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62905-2023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46228</v>
      </c>
      <c r="F190" t="inlineStr">
        <is>
          <t>VÄRMLANDS LÄN</t>
        </is>
      </c>
      <c r="G190" t="inlineStr">
        <is>
          <t>GRUMS</t>
        </is>
      </c>
      <c r="I190" t="n">
        <v>13.8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46039</v>
      </c>
      <c r="E191" s="1" t="n">
        <v>46228</v>
      </c>
      <c r="F191" t="inlineStr">
        <is>
          <t>VÄRMLANDS LÄN</t>
        </is>
      </c>
      <c r="G191" t="inlineStr">
        <is>
          <t>GRUMS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71903-2021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46228</v>
      </c>
      <c r="F192" t="inlineStr">
        <is>
          <t>VÄRMLANDS LÄN</t>
        </is>
      </c>
      <c r="G192" t="inlineStr">
        <is>
          <t>GRUMS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46228</v>
      </c>
      <c r="F193" t="inlineStr">
        <is>
          <t>VÄRMLANDS LÄN</t>
        </is>
      </c>
      <c r="G193" t="inlineStr">
        <is>
          <t>GRUMS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46228</v>
      </c>
      <c r="F194" t="inlineStr">
        <is>
          <t>VÄRMLANDS LÄN</t>
        </is>
      </c>
      <c r="G194" t="inlineStr">
        <is>
          <t>GRUMS</t>
        </is>
      </c>
      <c r="H194" t="inlineStr">
        <is>
          <t>BillerudKorsnäs AB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44809</v>
      </c>
      <c r="E195" s="1" t="n">
        <v>46228</v>
      </c>
      <c r="F195" t="inlineStr">
        <is>
          <t>VÄRMLANDS LÄN</t>
        </is>
      </c>
      <c r="G195" t="inlineStr">
        <is>
          <t>GRUMS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46228</v>
      </c>
      <c r="F196" t="inlineStr">
        <is>
          <t>VÄRMLANDS LÄN</t>
        </is>
      </c>
      <c r="G196" t="inlineStr">
        <is>
          <t>GRUMS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46228</v>
      </c>
      <c r="F197" t="inlineStr">
        <is>
          <t>VÄRMLANDS LÄN</t>
        </is>
      </c>
      <c r="G197" t="inlineStr">
        <is>
          <t>GRUMS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46228</v>
      </c>
      <c r="F198" t="inlineStr">
        <is>
          <t>VÄRMLANDS LÄN</t>
        </is>
      </c>
      <c r="G198" t="inlineStr">
        <is>
          <t>GRUMS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56220-2023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46228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45665</v>
      </c>
      <c r="E200" s="1" t="n">
        <v>46228</v>
      </c>
      <c r="F200" t="inlineStr">
        <is>
          <t>VÄRMLANDS LÄN</t>
        </is>
      </c>
      <c r="G200" t="inlineStr">
        <is>
          <t>GRUMS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46164</v>
      </c>
      <c r="E201" s="1" t="n">
        <v>46228</v>
      </c>
      <c r="F201" t="inlineStr">
        <is>
          <t>VÄRMLANDS LÄN</t>
        </is>
      </c>
      <c r="G201" t="inlineStr">
        <is>
          <t>GRUMS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46167</v>
      </c>
      <c r="E202" s="1" t="n">
        <v>46228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46228</v>
      </c>
      <c r="F203" t="inlineStr">
        <is>
          <t>VÄRMLANDS LÄN</t>
        </is>
      </c>
      <c r="G203" t="inlineStr">
        <is>
          <t>GRUMS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46228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46164</v>
      </c>
      <c r="E205" s="1" t="n">
        <v>46228</v>
      </c>
      <c r="F205" t="inlineStr">
        <is>
          <t>VÄRMLANDS LÄN</t>
        </is>
      </c>
      <c r="G205" t="inlineStr">
        <is>
          <t>GRUMS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29724-2023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45107</v>
      </c>
      <c r="E206" s="1" t="n">
        <v>46228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46228</v>
      </c>
      <c r="F207" t="inlineStr">
        <is>
          <t>VÄRMLANDS LÄN</t>
        </is>
      </c>
      <c r="G207" t="inlineStr">
        <is>
          <t>GRUMS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46228</v>
      </c>
      <c r="F208" t="inlineStr">
        <is>
          <t>VÄRMLANDS LÄN</t>
        </is>
      </c>
      <c r="G208" t="inlineStr">
        <is>
          <t>GRUMS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46228</v>
      </c>
      <c r="F209" t="inlineStr">
        <is>
          <t>VÄRMLANDS LÄN</t>
        </is>
      </c>
      <c r="G209" t="inlineStr">
        <is>
          <t>GRUMS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45408</v>
      </c>
      <c r="E210" s="1" t="n">
        <v>46228</v>
      </c>
      <c r="F210" t="inlineStr">
        <is>
          <t>VÄRMLANDS LÄN</t>
        </is>
      </c>
      <c r="G210" t="inlineStr">
        <is>
          <t>GRUMS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46228</v>
      </c>
      <c r="F211" t="inlineStr">
        <is>
          <t>VÄRMLANDS LÄN</t>
        </is>
      </c>
      <c r="G211" t="inlineStr">
        <is>
          <t>GRUMS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46228</v>
      </c>
      <c r="F212" t="inlineStr">
        <is>
          <t>VÄRMLANDS LÄN</t>
        </is>
      </c>
      <c r="G212" t="inlineStr">
        <is>
          <t>GRUMS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46228</v>
      </c>
      <c r="F213" t="inlineStr">
        <is>
          <t>VÄRMLANDS LÄN</t>
        </is>
      </c>
      <c r="G213" t="inlineStr">
        <is>
          <t>GRUMS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46214</v>
      </c>
      <c r="E214" s="1" t="n">
        <v>46228</v>
      </c>
      <c r="F214" t="inlineStr">
        <is>
          <t>VÄRMLANDS LÄN</t>
        </is>
      </c>
      <c r="G214" t="inlineStr">
        <is>
          <t>GRUMS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46228</v>
      </c>
      <c r="F215" t="inlineStr">
        <is>
          <t>VÄRMLANDS LÄN</t>
        </is>
      </c>
      <c r="G215" t="inlineStr">
        <is>
          <t>GRUMS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14688-2026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46101</v>
      </c>
      <c r="E216" s="1" t="n">
        <v>46228</v>
      </c>
      <c r="F216" t="inlineStr">
        <is>
          <t>VÄRMLANDS LÄN</t>
        </is>
      </c>
      <c r="G216" t="inlineStr">
        <is>
          <t>GRUMS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46228</v>
      </c>
      <c r="F217" t="inlineStr">
        <is>
          <t>VÄRMLANDS LÄN</t>
        </is>
      </c>
      <c r="G217" t="inlineStr">
        <is>
          <t>GRUMS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45124</v>
      </c>
      <c r="E218" s="1" t="n">
        <v>46228</v>
      </c>
      <c r="F218" t="inlineStr">
        <is>
          <t>VÄRMLANDS LÄN</t>
        </is>
      </c>
      <c r="G218" t="inlineStr">
        <is>
          <t>GRUMS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46228</v>
      </c>
      <c r="F219" t="inlineStr">
        <is>
          <t>VÄRMLANDS LÄN</t>
        </is>
      </c>
      <c r="G219" t="inlineStr">
        <is>
          <t>GRUMS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46228</v>
      </c>
      <c r="F220" t="inlineStr">
        <is>
          <t>VÄRMLANDS LÄN</t>
        </is>
      </c>
      <c r="G220" t="inlineStr">
        <is>
          <t>GRUMS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45386</v>
      </c>
      <c r="E221" s="1" t="n">
        <v>46228</v>
      </c>
      <c r="F221" t="inlineStr">
        <is>
          <t>VÄRMLANDS LÄN</t>
        </is>
      </c>
      <c r="G221" t="inlineStr">
        <is>
          <t>GRUMS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45231</v>
      </c>
      <c r="E222" s="1" t="n">
        <v>46228</v>
      </c>
      <c r="F222" t="inlineStr">
        <is>
          <t>VÄRMLANDS LÄN</t>
        </is>
      </c>
      <c r="G222" t="inlineStr">
        <is>
          <t>GRUMS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45461</v>
      </c>
      <c r="E223" s="1" t="n">
        <v>46228</v>
      </c>
      <c r="F223" t="inlineStr">
        <is>
          <t>VÄRMLANDS LÄN</t>
        </is>
      </c>
      <c r="G223" t="inlineStr">
        <is>
          <t>GRUMS</t>
        </is>
      </c>
      <c r="I223" t="n">
        <v>12.8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46228</v>
      </c>
      <c r="F224" t="inlineStr">
        <is>
          <t>VÄRMLANDS LÄN</t>
        </is>
      </c>
      <c r="G224" t="inlineStr">
        <is>
          <t>GRUMS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46228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46228</v>
      </c>
      <c r="F226" t="inlineStr">
        <is>
          <t>VÄRMLANDS LÄN</t>
        </is>
      </c>
      <c r="G226" t="inlineStr">
        <is>
          <t>GRUMS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46228</v>
      </c>
      <c r="F227" t="inlineStr">
        <is>
          <t>VÄRMLANDS LÄN</t>
        </is>
      </c>
      <c r="G227" t="inlineStr">
        <is>
          <t>GRUMS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45280</v>
      </c>
      <c r="E228" s="1" t="n">
        <v>46228</v>
      </c>
      <c r="F228" t="inlineStr">
        <is>
          <t>VÄRMLANDS LÄN</t>
        </is>
      </c>
      <c r="G228" t="inlineStr">
        <is>
          <t>GRUMS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45208</v>
      </c>
      <c r="E229" s="1" t="n">
        <v>46228</v>
      </c>
      <c r="F229" t="inlineStr">
        <is>
          <t>VÄRMLANDS LÄN</t>
        </is>
      </c>
      <c r="G229" t="inlineStr">
        <is>
          <t>GRUMS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46228</v>
      </c>
      <c r="F230" t="inlineStr">
        <is>
          <t>VÄRMLANDS LÄN</t>
        </is>
      </c>
      <c r="G230" t="inlineStr">
        <is>
          <t>GRUMS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46228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45089</v>
      </c>
      <c r="E232" s="1" t="n">
        <v>46228</v>
      </c>
      <c r="F232" t="inlineStr">
        <is>
          <t>VÄRMLANDS LÄN</t>
        </is>
      </c>
      <c r="G232" t="inlineStr">
        <is>
          <t>GRUMS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66056-2021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44517</v>
      </c>
      <c r="E233" s="1" t="n">
        <v>46228</v>
      </c>
      <c r="F233" t="inlineStr">
        <is>
          <t>VÄRMLANDS LÄN</t>
        </is>
      </c>
      <c r="G233" t="inlineStr">
        <is>
          <t>GRUMS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46224</v>
      </c>
      <c r="E234" s="1" t="n">
        <v>46228</v>
      </c>
      <c r="F234" t="inlineStr">
        <is>
          <t>VÄRMLANDS LÄN</t>
        </is>
      </c>
      <c r="G234" t="inlineStr">
        <is>
          <t>GRUMS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45450</v>
      </c>
      <c r="E235" s="1" t="n">
        <v>46228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7991-2024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45350</v>
      </c>
      <c r="E236" s="1" t="n">
        <v>46228</v>
      </c>
      <c r="F236" t="inlineStr">
        <is>
          <t>VÄRMLANDS LÄN</t>
        </is>
      </c>
      <c r="G236" t="inlineStr">
        <is>
          <t>GRUMS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46132</v>
      </c>
      <c r="E237" s="1" t="n">
        <v>46228</v>
      </c>
      <c r="F237" t="inlineStr">
        <is>
          <t>VÄRMLANDS LÄN</t>
        </is>
      </c>
      <c r="G237" t="inlineStr">
        <is>
          <t>GRUMS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26015-2026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46181</v>
      </c>
      <c r="E238" s="1" t="n">
        <v>46228</v>
      </c>
      <c r="F238" t="inlineStr">
        <is>
          <t>VÄRMLANDS LÄN</t>
        </is>
      </c>
      <c r="G238" t="inlineStr">
        <is>
          <t>GRUMS</t>
        </is>
      </c>
      <c r="H238" t="inlineStr">
        <is>
          <t>Kommuner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46228</v>
      </c>
      <c r="F239" t="inlineStr">
        <is>
          <t>VÄRMLANDS LÄN</t>
        </is>
      </c>
      <c r="G239" t="inlineStr">
        <is>
          <t>GRUMS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44467</v>
      </c>
      <c r="E240" s="1" t="n">
        <v>46228</v>
      </c>
      <c r="F240" t="inlineStr">
        <is>
          <t>VÄRMLANDS LÄN</t>
        </is>
      </c>
      <c r="G240" t="inlineStr">
        <is>
          <t>GRUMS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45708</v>
      </c>
      <c r="E241" s="1" t="n">
        <v>46228</v>
      </c>
      <c r="F241" t="inlineStr">
        <is>
          <t>VÄRMLANDS LÄN</t>
        </is>
      </c>
      <c r="G241" t="inlineStr">
        <is>
          <t>GRUMS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73310-2021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44547</v>
      </c>
      <c r="E242" s="1" t="n">
        <v>46228</v>
      </c>
      <c r="F242" t="inlineStr">
        <is>
          <t>VÄRMLANDS LÄN</t>
        </is>
      </c>
      <c r="G242" t="inlineStr">
        <is>
          <t>GRUMS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71781-2021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44539</v>
      </c>
      <c r="E243" s="1" t="n">
        <v>46228</v>
      </c>
      <c r="F243" t="inlineStr">
        <is>
          <t>VÄRMLANDS LÄN</t>
        </is>
      </c>
      <c r="G243" t="inlineStr">
        <is>
          <t>GRUMS</t>
        </is>
      </c>
      <c r="H243" t="inlineStr">
        <is>
          <t>Bergvik skog väst AB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45708</v>
      </c>
      <c r="E244" s="1" t="n">
        <v>46228</v>
      </c>
      <c r="F244" t="inlineStr">
        <is>
          <t>VÄRMLANDS LÄN</t>
        </is>
      </c>
      <c r="G244" t="inlineStr">
        <is>
          <t>GRUMS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44762</v>
      </c>
      <c r="E245" s="1" t="n">
        <v>46228</v>
      </c>
      <c r="F245" t="inlineStr">
        <is>
          <t>VÄRMLANDS LÄN</t>
        </is>
      </c>
      <c r="G245" t="inlineStr">
        <is>
          <t>GRUMS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46228</v>
      </c>
      <c r="F246" t="inlineStr">
        <is>
          <t>VÄRMLANDS LÄN</t>
        </is>
      </c>
      <c r="G246" t="inlineStr">
        <is>
          <t>GRUMS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46228</v>
      </c>
      <c r="F247" t="inlineStr">
        <is>
          <t>VÄRMLANDS LÄN</t>
        </is>
      </c>
      <c r="G247" t="inlineStr">
        <is>
          <t>GRUMS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46228</v>
      </c>
      <c r="F248" t="inlineStr">
        <is>
          <t>VÄRMLANDS LÄN</t>
        </is>
      </c>
      <c r="G248" t="inlineStr">
        <is>
          <t>GRUMS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46228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46228</v>
      </c>
      <c r="F250" t="inlineStr">
        <is>
          <t>VÄRMLANDS LÄN</t>
        </is>
      </c>
      <c r="G250" t="inlineStr">
        <is>
          <t>GRUMS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46228</v>
      </c>
      <c r="F251" t="inlineStr">
        <is>
          <t>VÄRMLANDS LÄN</t>
        </is>
      </c>
      <c r="G251" t="inlineStr">
        <is>
          <t>GRUMS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45435</v>
      </c>
      <c r="E252" s="1" t="n">
        <v>46228</v>
      </c>
      <c r="F252" t="inlineStr">
        <is>
          <t>VÄRMLANDS LÄN</t>
        </is>
      </c>
      <c r="G252" t="inlineStr">
        <is>
          <t>GRUMS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46228</v>
      </c>
      <c r="F253" t="inlineStr">
        <is>
          <t>VÄRMLANDS LÄN</t>
        </is>
      </c>
      <c r="G253" t="inlineStr">
        <is>
          <t>GRUMS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46228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45546</v>
      </c>
      <c r="E255" s="1" t="n">
        <v>46228</v>
      </c>
      <c r="F255" t="inlineStr">
        <is>
          <t>VÄRMLANDS LÄN</t>
        </is>
      </c>
      <c r="G255" t="inlineStr">
        <is>
          <t>GRUMS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63919-2021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46228</v>
      </c>
      <c r="F256" t="inlineStr">
        <is>
          <t>VÄRMLANDS LÄN</t>
        </is>
      </c>
      <c r="G256" t="inlineStr">
        <is>
          <t>GRUMS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45329</v>
      </c>
      <c r="E257" s="1" t="n">
        <v>46228</v>
      </c>
      <c r="F257" t="inlineStr">
        <is>
          <t>VÄRMLANDS LÄN</t>
        </is>
      </c>
      <c r="G257" t="inlineStr">
        <is>
          <t>GRUMS</t>
        </is>
      </c>
      <c r="I257" t="n">
        <v>8.4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36646-2023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45153</v>
      </c>
      <c r="E258" s="1" t="n">
        <v>46228</v>
      </c>
      <c r="F258" t="inlineStr">
        <is>
          <t>VÄRMLANDS LÄN</t>
        </is>
      </c>
      <c r="G258" t="inlineStr">
        <is>
          <t>GRUMS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46228</v>
      </c>
      <c r="F259" t="inlineStr">
        <is>
          <t>VÄRMLANDS LÄN</t>
        </is>
      </c>
      <c r="G259" t="inlineStr">
        <is>
          <t>GRUMS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46228</v>
      </c>
      <c r="F260" t="inlineStr">
        <is>
          <t>VÄRMLANDS LÄN</t>
        </is>
      </c>
      <c r="G260" t="inlineStr">
        <is>
          <t>GRUMS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46228</v>
      </c>
      <c r="F261" t="inlineStr">
        <is>
          <t>VÄRMLANDS LÄN</t>
        </is>
      </c>
      <c r="G261" t="inlineStr">
        <is>
          <t>GRUMS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45377</v>
      </c>
      <c r="E262" s="1" t="n">
        <v>46228</v>
      </c>
      <c r="F262" t="inlineStr">
        <is>
          <t>VÄRMLANDS LÄN</t>
        </is>
      </c>
      <c r="G262" t="inlineStr">
        <is>
          <t>GRUMS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39145-2021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44412</v>
      </c>
      <c r="E263" s="1" t="n">
        <v>46228</v>
      </c>
      <c r="F263" t="inlineStr">
        <is>
          <t>VÄRMLANDS LÄN</t>
        </is>
      </c>
      <c r="G263" t="inlineStr">
        <is>
          <t>GRUMS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45484</v>
      </c>
      <c r="E264" s="1" t="n">
        <v>46228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46228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46228</v>
      </c>
      <c r="F266" t="inlineStr">
        <is>
          <t>VÄRMLANDS LÄN</t>
        </is>
      </c>
      <c r="G266" t="inlineStr">
        <is>
          <t>GRUMS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46228</v>
      </c>
      <c r="F267" t="inlineStr">
        <is>
          <t>VÄRMLANDS LÄN</t>
        </is>
      </c>
      <c r="G267" t="inlineStr">
        <is>
          <t>GRUMS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45787</v>
      </c>
      <c r="E268" s="1" t="n">
        <v>46228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46228</v>
      </c>
      <c r="F269" t="inlineStr">
        <is>
          <t>VÄRMLANDS LÄN</t>
        </is>
      </c>
      <c r="G269" t="inlineStr">
        <is>
          <t>GRUMS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46228</v>
      </c>
      <c r="F270" t="inlineStr">
        <is>
          <t>VÄRMLANDS LÄN</t>
        </is>
      </c>
      <c r="G270" t="inlineStr">
        <is>
          <t>GRUMS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45152</v>
      </c>
      <c r="E271" s="1" t="n">
        <v>46228</v>
      </c>
      <c r="F271" t="inlineStr">
        <is>
          <t>VÄRMLANDS LÄN</t>
        </is>
      </c>
      <c r="G271" t="inlineStr">
        <is>
          <t>GRUMS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45757</v>
      </c>
      <c r="E272" s="1" t="n">
        <v>46228</v>
      </c>
      <c r="F272" t="inlineStr">
        <is>
          <t>VÄRMLANDS LÄN</t>
        </is>
      </c>
      <c r="G272" t="inlineStr">
        <is>
          <t>GRUMS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46228</v>
      </c>
      <c r="F273" t="inlineStr">
        <is>
          <t>VÄRMLANDS LÄN</t>
        </is>
      </c>
      <c r="G273" t="inlineStr">
        <is>
          <t>GRUMS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46228</v>
      </c>
      <c r="F274" t="inlineStr">
        <is>
          <t>VÄRMLANDS LÄN</t>
        </is>
      </c>
      <c r="G274" t="inlineStr">
        <is>
          <t>GRUMS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45836</v>
      </c>
      <c r="E275" s="1" t="n">
        <v>46228</v>
      </c>
      <c r="F275" t="inlineStr">
        <is>
          <t>VÄRMLANDS LÄN</t>
        </is>
      </c>
      <c r="G275" t="inlineStr">
        <is>
          <t>GRUMS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45708</v>
      </c>
      <c r="E276" s="1" t="n">
        <v>46228</v>
      </c>
      <c r="F276" t="inlineStr">
        <is>
          <t>VÄRMLANDS LÄN</t>
        </is>
      </c>
      <c r="G276" t="inlineStr">
        <is>
          <t>GRUMS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46228</v>
      </c>
      <c r="F277" t="inlineStr">
        <is>
          <t>VÄRMLANDS LÄN</t>
        </is>
      </c>
      <c r="G277" t="inlineStr">
        <is>
          <t>GRUMS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2221-2023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45099</v>
      </c>
      <c r="E278" s="1" t="n">
        <v>46228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4473-2023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45272</v>
      </c>
      <c r="E279" s="1" t="n">
        <v>46228</v>
      </c>
      <c r="F279" t="inlineStr">
        <is>
          <t>VÄRMLANDS LÄN</t>
        </is>
      </c>
      <c r="G279" t="inlineStr">
        <is>
          <t>GRUMS</t>
        </is>
      </c>
      <c r="I279" t="n">
        <v>43.7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2137-2025</t>
        </is>
      </c>
      <c r="B280" t="inlineStr">
        <is>
          <t>samrådsanmälan</t>
        </is>
      </c>
      <c r="C280" t="inlineStr">
        <is>
          <t>Skogsgödsling</t>
        </is>
      </c>
      <c r="D280" s="1" t="n">
        <v>45846</v>
      </c>
      <c r="E280" s="1" t="n">
        <v>46228</v>
      </c>
      <c r="F280" t="inlineStr">
        <is>
          <t>VÄRMLANDS LÄN</t>
        </is>
      </c>
      <c r="G280" t="inlineStr">
        <is>
          <t>GRUMS</t>
        </is>
      </c>
      <c r="I280" t="n">
        <v>20.2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3158-2025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45973</v>
      </c>
      <c r="E281" s="1" t="n">
        <v>46228</v>
      </c>
      <c r="F281" t="inlineStr">
        <is>
          <t>VÄRMLANDS LÄN</t>
        </is>
      </c>
      <c r="G281" t="inlineStr">
        <is>
          <t>GRUMS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88-2026</t>
        </is>
      </c>
      <c r="B282" t="inlineStr">
        <is>
          <t>samrådsanmälan</t>
        </is>
      </c>
      <c r="C282" t="inlineStr">
        <is>
          <t>Skogsgödsling</t>
        </is>
      </c>
      <c r="D282" s="1" t="n">
        <v>46035</v>
      </c>
      <c r="E282" s="1" t="n">
        <v>46228</v>
      </c>
      <c r="F282" t="inlineStr">
        <is>
          <t>VÄRMLANDS LÄN</t>
        </is>
      </c>
      <c r="G282" t="inlineStr">
        <is>
          <t>GRUMS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2026-07-25T01:52:54Z</dcterms:created>
  <dcterms:modified xmlns:dcterms="http://purl.org/dc/terms/" xmlns:xsi="http://www.w3.org/2001/XMLSchema-instance" xsi:type="dcterms:W3CDTF">2026-07-25T01:52:54Z</dcterms:modified>
</cp:coreProperties>
</file>