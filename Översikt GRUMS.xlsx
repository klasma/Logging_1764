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46313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46313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46313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46313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46313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46313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46313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46313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46313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46313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46313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46313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46313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30411-2025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46313</v>
      </c>
      <c r="F27" t="inlineStr">
        <is>
          <t>VÄRMLANDS LÄN</t>
        </is>
      </c>
      <c r="G27" t="inlineStr">
        <is>
          <t>GRUMS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HYPERLINK("https://klasma.github.io/Logging_1764/artfynd/A 30411-2025 artfynd.xlsx", "A 30411-2025")</f>
        <v/>
      </c>
      <c r="X27">
        <f>HYPERLINK("https://klasma.github.io/Logging_1764/kartor/A 30411-2025 karta.png", "A 30411-2025")</f>
        <v/>
      </c>
      <c r="Y27">
        <f>HYPERLINK("https://klasma.github.io/Logging_1764/kartor_geotiff/A 30411-2025 georefererad karta.tif", "A 30411-2025")</f>
        <v/>
      </c>
      <c r="AA27">
        <f>HYPERLINK("https://klasma.github.io/Logging_1764/klagomål/A 30411-2025 FSC-klagomål.docx", "A 30411-2025")</f>
        <v/>
      </c>
      <c r="AB27">
        <f>HYPERLINK("https://klasma.github.io/Logging_1764/klagomålsmail/A 30411-2025 FSC-klagomål mail.docx", "A 30411-2025")</f>
        <v/>
      </c>
      <c r="AC27">
        <f>HYPERLINK("https://klasma.github.io/Logging_1764/tillsyn/A 30411-2025 tillsynsbegäran.docx", "A 30411-2025")</f>
        <v/>
      </c>
      <c r="AD27">
        <f>HYPERLINK("https://klasma.github.io/Logging_1764/tillsynsmail/A 30411-2025 tillsynsbegäran mail.docx", "A 30411-2025")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46313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46313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46313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46313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46313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46313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46313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46313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46313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46313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19524-2024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46313</v>
      </c>
      <c r="F38" t="inlineStr">
        <is>
          <t>VÄRMLANDS LÄN</t>
        </is>
      </c>
      <c r="G38" t="inlineStr">
        <is>
          <t>GRUMS</t>
        </is>
      </c>
      <c r="I38" t="n">
        <v>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Sädesärla</t>
        </is>
      </c>
      <c r="W38">
        <f>HYPERLINK("https://klasma.github.io/Logging_1764/artfynd/A 19524-2024 artfynd.xlsx", "A 19524-2024")</f>
        <v/>
      </c>
      <c r="X38">
        <f>HYPERLINK("https://klasma.github.io/Logging_1764/kartor/A 19524-2024 karta.png", "A 19524-2024")</f>
        <v/>
      </c>
      <c r="Y38">
        <f>HYPERLINK("https://klasma.github.io/Logging_1764/kartor_geotiff/A 19524-2024 georefererad karta.tif", "A 19524-2024")</f>
        <v/>
      </c>
      <c r="AA38">
        <f>HYPERLINK("https://klasma.github.io/Logging_1764/klagomål/A 19524-2024 FSC-klagomål.docx", "A 19524-2024")</f>
        <v/>
      </c>
      <c r="AB38">
        <f>HYPERLINK("https://klasma.github.io/Logging_1764/klagomålsmail/A 19524-2024 FSC-klagomål mail.docx", "A 19524-2024")</f>
        <v/>
      </c>
      <c r="AC38">
        <f>HYPERLINK("https://klasma.github.io/Logging_1764/tillsyn/A 19524-2024 tillsynsbegäran.docx", "A 19524-2024")</f>
        <v/>
      </c>
      <c r="AD38">
        <f>HYPERLINK("https://klasma.github.io/Logging_1764/tillsynsmail/A 19524-2024 tillsynsbegäran mail.docx", "A 19524-2024")</f>
        <v/>
      </c>
      <c r="AE38">
        <f>HYPERLINK("https://klasma.github.io/Logging_1764/fåglar/A 19524-2024 prioriterade fågelarter.docx", "A 19524-2024")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46313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46313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46313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46313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46313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46313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46313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46313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46313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46313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46313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46313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46313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46313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46313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46313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46313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46313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46313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46313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46313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46313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46313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46313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46313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46313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46313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46313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46313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46313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46313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73901-2021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46313</v>
      </c>
      <c r="F70" t="inlineStr">
        <is>
          <t>VÄRMLANDS LÄN</t>
        </is>
      </c>
      <c r="G70" t="inlineStr">
        <is>
          <t>GRUMS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46313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46313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46313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46313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46313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46313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46313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46313</v>
      </c>
      <c r="F78" t="inlineStr">
        <is>
          <t>VÄRMLANDS LÄN</t>
        </is>
      </c>
      <c r="G78" t="inlineStr">
        <is>
          <t>GRUMS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46313</v>
      </c>
      <c r="F79" t="inlineStr">
        <is>
          <t>VÄRMLANDS LÄN</t>
        </is>
      </c>
      <c r="G79" t="inlineStr">
        <is>
          <t>GRUMS</t>
        </is>
      </c>
      <c r="I79" t="n">
        <v>18.2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44963</v>
      </c>
      <c r="E80" s="1" t="n">
        <v>46313</v>
      </c>
      <c r="F80" t="inlineStr">
        <is>
          <t>VÄRMLANDS LÄN</t>
        </is>
      </c>
      <c r="G80" t="inlineStr">
        <is>
          <t>GRUMS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46313</v>
      </c>
      <c r="F81" t="inlineStr">
        <is>
          <t>VÄRMLANDS LÄN</t>
        </is>
      </c>
      <c r="G81" t="inlineStr">
        <is>
          <t>GRUMS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46313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46313</v>
      </c>
      <c r="F83" t="inlineStr">
        <is>
          <t>VÄRMLANDS LÄN</t>
        </is>
      </c>
      <c r="G83" t="inlineStr">
        <is>
          <t>GRUMS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46313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46313</v>
      </c>
      <c r="F85" t="inlineStr">
        <is>
          <t>VÄRMLANDS LÄN</t>
        </is>
      </c>
      <c r="G85" t="inlineStr">
        <is>
          <t>GRUMS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46313</v>
      </c>
      <c r="F86" t="inlineStr">
        <is>
          <t>VÄRMLANDS LÄN</t>
        </is>
      </c>
      <c r="G86" t="inlineStr">
        <is>
          <t>GRUMS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45310</v>
      </c>
      <c r="E87" s="1" t="n">
        <v>46313</v>
      </c>
      <c r="F87" t="inlineStr">
        <is>
          <t>VÄRMLANDS LÄN</t>
        </is>
      </c>
      <c r="G87" t="inlineStr">
        <is>
          <t>GRUMS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45700</v>
      </c>
      <c r="E88" s="1" t="n">
        <v>46313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46313</v>
      </c>
      <c r="F89" t="inlineStr">
        <is>
          <t>VÄRMLANDS LÄN</t>
        </is>
      </c>
      <c r="G89" t="inlineStr">
        <is>
          <t>GRUMS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46313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45434</v>
      </c>
      <c r="E91" s="1" t="n">
        <v>46313</v>
      </c>
      <c r="F91" t="inlineStr">
        <is>
          <t>VÄRMLANDS LÄN</t>
        </is>
      </c>
      <c r="G91" t="inlineStr">
        <is>
          <t>GRUMS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46313</v>
      </c>
      <c r="F92" t="inlineStr">
        <is>
          <t>VÄRMLANDS LÄN</t>
        </is>
      </c>
      <c r="G92" t="inlineStr">
        <is>
          <t>GRUMS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46313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44760</v>
      </c>
      <c r="E94" s="1" t="n">
        <v>46313</v>
      </c>
      <c r="F94" t="inlineStr">
        <is>
          <t>VÄRMLANDS LÄN</t>
        </is>
      </c>
      <c r="G94" t="inlineStr">
        <is>
          <t>GRUMS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46313</v>
      </c>
      <c r="F95" t="inlineStr">
        <is>
          <t>VÄRMLANDS LÄN</t>
        </is>
      </c>
      <c r="G95" t="inlineStr">
        <is>
          <t>GRUMS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46313</v>
      </c>
      <c r="F96" t="inlineStr">
        <is>
          <t>VÄRMLANDS LÄN</t>
        </is>
      </c>
      <c r="G96" t="inlineStr">
        <is>
          <t>GRUMS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46313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46313</v>
      </c>
      <c r="F98" t="inlineStr">
        <is>
          <t>VÄRMLANDS LÄN</t>
        </is>
      </c>
      <c r="G98" t="inlineStr">
        <is>
          <t>GRUMS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46313</v>
      </c>
      <c r="F99" t="inlineStr">
        <is>
          <t>VÄRMLANDS LÄN</t>
        </is>
      </c>
      <c r="G99" t="inlineStr">
        <is>
          <t>GRUMS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46313</v>
      </c>
      <c r="F100" t="inlineStr">
        <is>
          <t>VÄRMLANDS LÄN</t>
        </is>
      </c>
      <c r="G100" t="inlineStr">
        <is>
          <t>GRUMS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46313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46313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46313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69847-2021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44532</v>
      </c>
      <c r="E104" s="1" t="n">
        <v>46313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46313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45070</v>
      </c>
      <c r="E106" s="1" t="n">
        <v>46313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46313</v>
      </c>
      <c r="F107" t="inlineStr">
        <is>
          <t>VÄRMLANDS LÄN</t>
        </is>
      </c>
      <c r="G107" t="inlineStr">
        <is>
          <t>GRUMS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46313</v>
      </c>
      <c r="F108" t="inlineStr">
        <is>
          <t>VÄRMLANDS LÄN</t>
        </is>
      </c>
      <c r="G108" t="inlineStr">
        <is>
          <t>GRUMS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46313</v>
      </c>
      <c r="F109" t="inlineStr">
        <is>
          <t>VÄRMLANDS LÄN</t>
        </is>
      </c>
      <c r="G109" t="inlineStr">
        <is>
          <t>GRUMS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46313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46313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45896</v>
      </c>
      <c r="E112" s="1" t="n">
        <v>46313</v>
      </c>
      <c r="F112" t="inlineStr">
        <is>
          <t>VÄRMLANDS LÄN</t>
        </is>
      </c>
      <c r="G112" t="inlineStr">
        <is>
          <t>GRUMS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44705</v>
      </c>
      <c r="E113" s="1" t="n">
        <v>46313</v>
      </c>
      <c r="F113" t="inlineStr">
        <is>
          <t>VÄRMLANDS LÄN</t>
        </is>
      </c>
      <c r="G113" t="inlineStr">
        <is>
          <t>GRUMS</t>
        </is>
      </c>
      <c r="I113" t="n">
        <v>12.4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46313</v>
      </c>
      <c r="F114" t="inlineStr">
        <is>
          <t>VÄRMLANDS LÄN</t>
        </is>
      </c>
      <c r="G114" t="inlineStr">
        <is>
          <t>GRUMS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37676-2023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45159</v>
      </c>
      <c r="E115" s="1" t="n">
        <v>46313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46313</v>
      </c>
      <c r="F116" t="inlineStr">
        <is>
          <t>VÄRMLANDS LÄN</t>
        </is>
      </c>
      <c r="G116" t="inlineStr">
        <is>
          <t>GRUMS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46313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46313</v>
      </c>
      <c r="F118" t="inlineStr">
        <is>
          <t>VÄRMLANDS LÄN</t>
        </is>
      </c>
      <c r="G118" t="inlineStr">
        <is>
          <t>GRUMS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46313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46313</v>
      </c>
      <c r="F120" t="inlineStr">
        <is>
          <t>VÄRMLANDS LÄN</t>
        </is>
      </c>
      <c r="G120" t="inlineStr">
        <is>
          <t>GRUMS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45691</v>
      </c>
      <c r="E121" s="1" t="n">
        <v>46313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46313</v>
      </c>
      <c r="F122" t="inlineStr">
        <is>
          <t>VÄRMLANDS LÄN</t>
        </is>
      </c>
      <c r="G122" t="inlineStr">
        <is>
          <t>GRUMS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46313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46313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46313</v>
      </c>
      <c r="F125" t="inlineStr">
        <is>
          <t>VÄRMLANDS LÄN</t>
        </is>
      </c>
      <c r="G125" t="inlineStr">
        <is>
          <t>GRUMS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45757</v>
      </c>
      <c r="E126" s="1" t="n">
        <v>46313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31362-2024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45505</v>
      </c>
      <c r="E127" s="1" t="n">
        <v>46313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46313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46313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46313</v>
      </c>
      <c r="F130" t="inlineStr">
        <is>
          <t>VÄRMLANDS LÄN</t>
        </is>
      </c>
      <c r="G130" t="inlineStr">
        <is>
          <t>GRUMS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46313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46313</v>
      </c>
      <c r="F132" t="inlineStr">
        <is>
          <t>VÄRMLANDS LÄN</t>
        </is>
      </c>
      <c r="G132" t="inlineStr">
        <is>
          <t>GRUMS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46313</v>
      </c>
      <c r="F133" t="inlineStr">
        <is>
          <t>VÄRMLANDS LÄN</t>
        </is>
      </c>
      <c r="G133" t="inlineStr">
        <is>
          <t>GRUMS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46313</v>
      </c>
      <c r="F134" t="inlineStr">
        <is>
          <t>VÄRMLANDS LÄN</t>
        </is>
      </c>
      <c r="G134" t="inlineStr">
        <is>
          <t>GRUMS</t>
        </is>
      </c>
      <c r="I134" t="n">
        <v>22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46313</v>
      </c>
      <c r="F135" t="inlineStr">
        <is>
          <t>VÄRMLANDS LÄN</t>
        </is>
      </c>
      <c r="G135" t="inlineStr">
        <is>
          <t>GRUMS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51509-2025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45950</v>
      </c>
      <c r="E136" s="1" t="n">
        <v>46313</v>
      </c>
      <c r="F136" t="inlineStr">
        <is>
          <t>VÄRMLANDS LÄN</t>
        </is>
      </c>
      <c r="G136" t="inlineStr">
        <is>
          <t>GRUMS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46313</v>
      </c>
      <c r="F137" t="inlineStr">
        <is>
          <t>VÄRMLANDS LÄN</t>
        </is>
      </c>
      <c r="G137" t="inlineStr">
        <is>
          <t>GRUMS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46313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46313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46313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46313</v>
      </c>
      <c r="F141" t="inlineStr">
        <is>
          <t>VÄRMLANDS LÄN</t>
        </is>
      </c>
      <c r="G141" t="inlineStr">
        <is>
          <t>GRUMS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71903-2021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46313</v>
      </c>
      <c r="F142" t="inlineStr">
        <is>
          <t>VÄRMLANDS LÄN</t>
        </is>
      </c>
      <c r="G142" t="inlineStr">
        <is>
          <t>GRUMS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46313</v>
      </c>
      <c r="F143" t="inlineStr">
        <is>
          <t>VÄRMLANDS LÄN</t>
        </is>
      </c>
      <c r="G143" t="inlineStr">
        <is>
          <t>GRUMS</t>
        </is>
      </c>
      <c r="H143" t="inlineStr">
        <is>
          <t>BillerudKorsnäs AB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46313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46313</v>
      </c>
      <c r="F145" t="inlineStr">
        <is>
          <t>VÄRMLANDS LÄN</t>
        </is>
      </c>
      <c r="G145" t="inlineStr">
        <is>
          <t>GRUMS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46313</v>
      </c>
      <c r="F146" t="inlineStr">
        <is>
          <t>VÄRMLANDS LÄN</t>
        </is>
      </c>
      <c r="G146" t="inlineStr">
        <is>
          <t>GRUMS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31930-2024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45510</v>
      </c>
      <c r="E147" s="1" t="n">
        <v>46313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46313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44823</v>
      </c>
      <c r="E149" s="1" t="n">
        <v>46313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46164</v>
      </c>
      <c r="E150" s="1" t="n">
        <v>46313</v>
      </c>
      <c r="F150" t="inlineStr">
        <is>
          <t>VÄRMLANDS LÄN</t>
        </is>
      </c>
      <c r="G150" t="inlineStr">
        <is>
          <t>GRUMS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46313</v>
      </c>
      <c r="F151" t="inlineStr">
        <is>
          <t>VÄRMLANDS LÄN</t>
        </is>
      </c>
      <c r="G151" t="inlineStr">
        <is>
          <t>GRUMS</t>
        </is>
      </c>
      <c r="H151" t="inlineStr">
        <is>
          <t>Kommuner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46313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46313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46313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46313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46313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46313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46313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46313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46313</v>
      </c>
      <c r="F160" t="inlineStr">
        <is>
          <t>VÄRMLANDS LÄN</t>
        </is>
      </c>
      <c r="G160" t="inlineStr">
        <is>
          <t>GRUMS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46313</v>
      </c>
      <c r="F161" t="inlineStr">
        <is>
          <t>VÄRMLANDS LÄN</t>
        </is>
      </c>
      <c r="G161" t="inlineStr">
        <is>
          <t>GRUMS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46313</v>
      </c>
      <c r="F162" t="inlineStr">
        <is>
          <t>VÄRMLANDS LÄN</t>
        </is>
      </c>
      <c r="G162" t="inlineStr">
        <is>
          <t>GRUMS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46313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46313</v>
      </c>
      <c r="F164" t="inlineStr">
        <is>
          <t>VÄRMLANDS LÄN</t>
        </is>
      </c>
      <c r="G164" t="inlineStr">
        <is>
          <t>GRUMS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46313</v>
      </c>
      <c r="F165" t="inlineStr">
        <is>
          <t>VÄRMLANDS LÄN</t>
        </is>
      </c>
      <c r="G165" t="inlineStr">
        <is>
          <t>GRUMS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59391-2025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45989</v>
      </c>
      <c r="E166" s="1" t="n">
        <v>46313</v>
      </c>
      <c r="F166" t="inlineStr">
        <is>
          <t>VÄRMLANDS LÄN</t>
        </is>
      </c>
      <c r="G166" t="inlineStr">
        <is>
          <t>GRUMS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46313</v>
      </c>
      <c r="F167" t="inlineStr">
        <is>
          <t>VÄRMLANDS LÄN</t>
        </is>
      </c>
      <c r="G167" t="inlineStr">
        <is>
          <t>GRUMS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46313</v>
      </c>
      <c r="F168" t="inlineStr">
        <is>
          <t>VÄRMLANDS LÄN</t>
        </is>
      </c>
      <c r="G168" t="inlineStr">
        <is>
          <t>GRUMS</t>
        </is>
      </c>
      <c r="H168" t="inlineStr">
        <is>
          <t>Bergvik skog väst AB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46313</v>
      </c>
      <c r="F169" t="inlineStr">
        <is>
          <t>VÄRMLANDS LÄN</t>
        </is>
      </c>
      <c r="G169" t="inlineStr">
        <is>
          <t>GRUMS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46039</v>
      </c>
      <c r="E170" s="1" t="n">
        <v>46313</v>
      </c>
      <c r="F170" t="inlineStr">
        <is>
          <t>VÄRMLANDS LÄN</t>
        </is>
      </c>
      <c r="G170" t="inlineStr">
        <is>
          <t>GRUMS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46313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46313</v>
      </c>
      <c r="F172" t="inlineStr">
        <is>
          <t>VÄRMLANDS LÄN</t>
        </is>
      </c>
      <c r="G172" t="inlineStr">
        <is>
          <t>GRUMS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26015-2026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46181</v>
      </c>
      <c r="E173" s="1" t="n">
        <v>46313</v>
      </c>
      <c r="F173" t="inlineStr">
        <is>
          <t>VÄRMLANDS LÄN</t>
        </is>
      </c>
      <c r="G173" t="inlineStr">
        <is>
          <t>GRUMS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46313</v>
      </c>
      <c r="F174" t="inlineStr">
        <is>
          <t>VÄRMLANDS LÄN</t>
        </is>
      </c>
      <c r="G174" t="inlineStr">
        <is>
          <t>GRUMS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46313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46313</v>
      </c>
      <c r="F176" t="inlineStr">
        <is>
          <t>VÄRMLANDS LÄN</t>
        </is>
      </c>
      <c r="G176" t="inlineStr">
        <is>
          <t>GRUMS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46313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46313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46313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46313</v>
      </c>
      <c r="F180" t="inlineStr">
        <is>
          <t>VÄRMLANDS LÄN</t>
        </is>
      </c>
      <c r="G180" t="inlineStr">
        <is>
          <t>GRUMS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45391</v>
      </c>
      <c r="E181" s="1" t="n">
        <v>46313</v>
      </c>
      <c r="F181" t="inlineStr">
        <is>
          <t>VÄRMLANDS LÄN</t>
        </is>
      </c>
      <c r="G181" t="inlineStr">
        <is>
          <t>GRUMS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45107</v>
      </c>
      <c r="E182" s="1" t="n">
        <v>46313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46313</v>
      </c>
      <c r="F183" t="inlineStr">
        <is>
          <t>VÄRMLANDS LÄN</t>
        </is>
      </c>
      <c r="G183" t="inlineStr">
        <is>
          <t>GRUMS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46313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14688-2026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46101</v>
      </c>
      <c r="E185" s="1" t="n">
        <v>46313</v>
      </c>
      <c r="F185" t="inlineStr">
        <is>
          <t>VÄRMLANDS LÄN</t>
        </is>
      </c>
      <c r="G185" t="inlineStr">
        <is>
          <t>GRUMS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46313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46313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46313</v>
      </c>
      <c r="F188" t="inlineStr">
        <is>
          <t>VÄRMLANDS LÄN</t>
        </is>
      </c>
      <c r="G188" t="inlineStr">
        <is>
          <t>GRUMS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46313</v>
      </c>
      <c r="F189" t="inlineStr">
        <is>
          <t>VÄRMLANDS LÄN</t>
        </is>
      </c>
      <c r="G189" t="inlineStr">
        <is>
          <t>GRUMS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46313</v>
      </c>
      <c r="F190" t="inlineStr">
        <is>
          <t>VÄRMLANDS LÄN</t>
        </is>
      </c>
      <c r="G190" t="inlineStr">
        <is>
          <t>GRUMS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46313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46313</v>
      </c>
      <c r="F192" t="inlineStr">
        <is>
          <t>VÄRMLANDS LÄN</t>
        </is>
      </c>
      <c r="G192" t="inlineStr">
        <is>
          <t>GRUMS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46313</v>
      </c>
      <c r="F193" t="inlineStr">
        <is>
          <t>VÄRMLANDS LÄN</t>
        </is>
      </c>
      <c r="G193" t="inlineStr">
        <is>
          <t>GRUMS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46313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46313</v>
      </c>
      <c r="F195" t="inlineStr">
        <is>
          <t>VÄRMLANDS LÄN</t>
        </is>
      </c>
      <c r="G195" t="inlineStr">
        <is>
          <t>GRUMS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46313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45512</v>
      </c>
      <c r="E197" s="1" t="n">
        <v>46313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45124</v>
      </c>
      <c r="E198" s="1" t="n">
        <v>46313</v>
      </c>
      <c r="F198" t="inlineStr">
        <is>
          <t>VÄRMLANDS LÄN</t>
        </is>
      </c>
      <c r="G198" t="inlineStr">
        <is>
          <t>GRUMS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46313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46313</v>
      </c>
      <c r="F200" t="inlineStr">
        <is>
          <t>VÄRMLANDS LÄN</t>
        </is>
      </c>
      <c r="G200" t="inlineStr">
        <is>
          <t>GRUMS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46313</v>
      </c>
      <c r="F201" t="inlineStr">
        <is>
          <t>VÄRMLANDS LÄN</t>
        </is>
      </c>
      <c r="G201" t="inlineStr">
        <is>
          <t>GRUMS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45461</v>
      </c>
      <c r="E202" s="1" t="n">
        <v>46313</v>
      </c>
      <c r="F202" t="inlineStr">
        <is>
          <t>VÄRMLANDS LÄN</t>
        </is>
      </c>
      <c r="G202" t="inlineStr">
        <is>
          <t>GRUMS</t>
        </is>
      </c>
      <c r="I202" t="n">
        <v>12.8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46313</v>
      </c>
      <c r="F203" t="inlineStr">
        <is>
          <t>VÄRMLANDS LÄN</t>
        </is>
      </c>
      <c r="G203" t="inlineStr">
        <is>
          <t>GRUMS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46313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46313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46313</v>
      </c>
      <c r="F206" t="inlineStr">
        <is>
          <t>VÄRMLANDS LÄN</t>
        </is>
      </c>
      <c r="G206" t="inlineStr">
        <is>
          <t>GRUMS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46313</v>
      </c>
      <c r="F207" t="inlineStr">
        <is>
          <t>VÄRMLANDS LÄN</t>
        </is>
      </c>
      <c r="G207" t="inlineStr">
        <is>
          <t>GRUMS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46313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45208</v>
      </c>
      <c r="E209" s="1" t="n">
        <v>46313</v>
      </c>
      <c r="F209" t="inlineStr">
        <is>
          <t>VÄRMLANDS LÄN</t>
        </is>
      </c>
      <c r="G209" t="inlineStr">
        <is>
          <t>GRUMS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46313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46313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45089</v>
      </c>
      <c r="E212" s="1" t="n">
        <v>46313</v>
      </c>
      <c r="F212" t="inlineStr">
        <is>
          <t>VÄRMLANDS LÄN</t>
        </is>
      </c>
      <c r="G212" t="inlineStr">
        <is>
          <t>GRUMS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46313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46313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46313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7991-2024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45350</v>
      </c>
      <c r="E216" s="1" t="n">
        <v>46313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46313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46224</v>
      </c>
      <c r="E218" s="1" t="n">
        <v>46313</v>
      </c>
      <c r="F218" t="inlineStr">
        <is>
          <t>VÄRMLANDS LÄN</t>
        </is>
      </c>
      <c r="G218" t="inlineStr">
        <is>
          <t>GRUMS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46313</v>
      </c>
      <c r="F219" t="inlineStr">
        <is>
          <t>VÄRMLANDS LÄN</t>
        </is>
      </c>
      <c r="G219" t="inlineStr">
        <is>
          <t>GRUMS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46313</v>
      </c>
      <c r="F220" t="inlineStr">
        <is>
          <t>VÄRMLANDS LÄN</t>
        </is>
      </c>
      <c r="G220" t="inlineStr">
        <is>
          <t>GRUMS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46313</v>
      </c>
      <c r="F221" t="inlineStr">
        <is>
          <t>VÄRMLANDS LÄN</t>
        </is>
      </c>
      <c r="G221" t="inlineStr">
        <is>
          <t>GRUMS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73310-2021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44547</v>
      </c>
      <c r="E222" s="1" t="n">
        <v>46313</v>
      </c>
      <c r="F222" t="inlineStr">
        <is>
          <t>VÄRMLANDS LÄN</t>
        </is>
      </c>
      <c r="G222" t="inlineStr">
        <is>
          <t>GRUMS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71781-2021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46313</v>
      </c>
      <c r="F223" t="inlineStr">
        <is>
          <t>VÄRMLANDS LÄN</t>
        </is>
      </c>
      <c r="G223" t="inlineStr">
        <is>
          <t>GRUMS</t>
        </is>
      </c>
      <c r="H223" t="inlineStr">
        <is>
          <t>Bergvik skog väst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46313</v>
      </c>
      <c r="F224" t="inlineStr">
        <is>
          <t>VÄRMLANDS LÄN</t>
        </is>
      </c>
      <c r="G224" t="inlineStr">
        <is>
          <t>GRUMS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44762</v>
      </c>
      <c r="E225" s="1" t="n">
        <v>46313</v>
      </c>
      <c r="F225" t="inlineStr">
        <is>
          <t>VÄRMLANDS LÄN</t>
        </is>
      </c>
      <c r="G225" t="inlineStr">
        <is>
          <t>GRUMS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46313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46244</v>
      </c>
      <c r="E227" s="1" t="n">
        <v>46313</v>
      </c>
      <c r="F227" t="inlineStr">
        <is>
          <t>VÄRMLANDS LÄN</t>
        </is>
      </c>
      <c r="G227" t="inlineStr">
        <is>
          <t>GRUMS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46313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46313</v>
      </c>
      <c r="F229" t="inlineStr">
        <is>
          <t>VÄRMLANDS LÄN</t>
        </is>
      </c>
      <c r="G229" t="inlineStr">
        <is>
          <t>GRUMS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46313</v>
      </c>
      <c r="F230" t="inlineStr">
        <is>
          <t>VÄRMLANDS LÄN</t>
        </is>
      </c>
      <c r="G230" t="inlineStr">
        <is>
          <t>GRUMS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46313</v>
      </c>
      <c r="F231" t="inlineStr">
        <is>
          <t>VÄRMLANDS LÄN</t>
        </is>
      </c>
      <c r="G231" t="inlineStr">
        <is>
          <t>GRUMS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46313</v>
      </c>
      <c r="F232" t="inlineStr">
        <is>
          <t>VÄRMLANDS LÄN</t>
        </is>
      </c>
      <c r="G232" t="inlineStr">
        <is>
          <t>GRUMS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46313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46313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46313</v>
      </c>
      <c r="F235" t="inlineStr">
        <is>
          <t>VÄRMLANDS LÄN</t>
        </is>
      </c>
      <c r="G235" t="inlineStr">
        <is>
          <t>GRUMS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46313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63919-2021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46313</v>
      </c>
      <c r="F237" t="inlineStr">
        <is>
          <t>VÄRMLANDS LÄN</t>
        </is>
      </c>
      <c r="G237" t="inlineStr">
        <is>
          <t>GRUMS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46313</v>
      </c>
      <c r="F238" t="inlineStr">
        <is>
          <t>VÄRMLANDS LÄN</t>
        </is>
      </c>
      <c r="G238" t="inlineStr">
        <is>
          <t>GRUMS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46313</v>
      </c>
      <c r="F239" t="inlineStr">
        <is>
          <t>VÄRMLANDS LÄN</t>
        </is>
      </c>
      <c r="G239" t="inlineStr">
        <is>
          <t>GRUMS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46313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46313</v>
      </c>
      <c r="F241" t="inlineStr">
        <is>
          <t>VÄRMLANDS LÄN</t>
        </is>
      </c>
      <c r="G241" t="inlineStr">
        <is>
          <t>GRUMS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46313</v>
      </c>
      <c r="F242" t="inlineStr">
        <is>
          <t>VÄRMLANDS LÄN</t>
        </is>
      </c>
      <c r="G242" t="inlineStr">
        <is>
          <t>GRUMS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45377</v>
      </c>
      <c r="E243" s="1" t="n">
        <v>46313</v>
      </c>
      <c r="F243" t="inlineStr">
        <is>
          <t>VÄRMLANDS LÄN</t>
        </is>
      </c>
      <c r="G243" t="inlineStr">
        <is>
          <t>GRUMS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46313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46313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46313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46313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46313</v>
      </c>
      <c r="F248" t="inlineStr">
        <is>
          <t>VÄRMLANDS LÄN</t>
        </is>
      </c>
      <c r="G248" t="inlineStr">
        <is>
          <t>GRUMS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45785</v>
      </c>
      <c r="E249" s="1" t="n">
        <v>46313</v>
      </c>
      <c r="F249" t="inlineStr">
        <is>
          <t>VÄRMLANDS LÄN</t>
        </is>
      </c>
      <c r="G249" t="inlineStr">
        <is>
          <t>GRUMS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22537-2025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45787</v>
      </c>
      <c r="E250" s="1" t="n">
        <v>46313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46307</v>
      </c>
      <c r="E251" s="1" t="n">
        <v>46313</v>
      </c>
      <c r="F251" t="inlineStr">
        <is>
          <t>VÄRMLANDS LÄN</t>
        </is>
      </c>
      <c r="G251" t="inlineStr">
        <is>
          <t>GRUMS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46313</v>
      </c>
      <c r="F252" t="inlineStr">
        <is>
          <t>VÄRMLANDS LÄN</t>
        </is>
      </c>
      <c r="G252" t="inlineStr">
        <is>
          <t>GRUMS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46313</v>
      </c>
      <c r="F253" t="inlineStr">
        <is>
          <t>VÄRMLANDS LÄN</t>
        </is>
      </c>
      <c r="G253" t="inlineStr">
        <is>
          <t>GRUMS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46313</v>
      </c>
      <c r="F254" t="inlineStr">
        <is>
          <t>VÄRMLANDS LÄN</t>
        </is>
      </c>
      <c r="G254" t="inlineStr">
        <is>
          <t>GRUMS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42954-2026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46310</v>
      </c>
      <c r="E255" s="1" t="n">
        <v>46313</v>
      </c>
      <c r="F255" t="inlineStr">
        <is>
          <t>VÄRMLANDS LÄN</t>
        </is>
      </c>
      <c r="G255" t="inlineStr">
        <is>
          <t>GRUMS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46310</v>
      </c>
      <c r="E256" s="1" t="n">
        <v>46313</v>
      </c>
      <c r="F256" t="inlineStr">
        <is>
          <t>VÄRMLANDS LÄN</t>
        </is>
      </c>
      <c r="G256" t="inlineStr">
        <is>
          <t>GRUMS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46313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46313</v>
      </c>
      <c r="F258" t="inlineStr">
        <is>
          <t>VÄRMLANDS LÄN</t>
        </is>
      </c>
      <c r="G258" t="inlineStr">
        <is>
          <t>GRUMS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46313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45836</v>
      </c>
      <c r="E260" s="1" t="n">
        <v>46313</v>
      </c>
      <c r="F260" t="inlineStr">
        <is>
          <t>VÄRMLANDS LÄN</t>
        </is>
      </c>
      <c r="G260" t="inlineStr">
        <is>
          <t>GRUMS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46313</v>
      </c>
      <c r="F261" t="inlineStr">
        <is>
          <t>VÄRMLANDS LÄN</t>
        </is>
      </c>
      <c r="G261" t="inlineStr">
        <is>
          <t>GRUMS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46313</v>
      </c>
      <c r="F262" t="inlineStr">
        <is>
          <t>VÄRMLANDS LÄN</t>
        </is>
      </c>
      <c r="G262" t="inlineStr">
        <is>
          <t>GRUMS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46313</v>
      </c>
      <c r="F263" t="inlineStr">
        <is>
          <t>VÄRMLANDS LÄN</t>
        </is>
      </c>
      <c r="G263" t="inlineStr">
        <is>
          <t>GRUMS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46313</v>
      </c>
      <c r="F264" t="inlineStr">
        <is>
          <t>VÄRMLANDS LÄN</t>
        </is>
      </c>
      <c r="G264" t="inlineStr">
        <is>
          <t>GRUMS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46313</v>
      </c>
      <c r="F265" t="inlineStr">
        <is>
          <t>VÄRMLANDS LÄN</t>
        </is>
      </c>
      <c r="G265" t="inlineStr">
        <is>
          <t>GRUMS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46313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46313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46313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46313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46313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2026-10-18T08:07:00Z</dcterms:created>
  <dcterms:modified xmlns:dcterms="http://purl.org/dc/terms/" xmlns:xsi="http://www.w3.org/2001/XMLSchema-instance" xsi:type="dcterms:W3CDTF">2026-10-18T08:07:00Z</dcterms:modified>
</cp:coreProperties>
</file>