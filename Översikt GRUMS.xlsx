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46297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46297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46297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46297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46297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46297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46297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46297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46297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46297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46297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46297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46297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46297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46297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46297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46297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46297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46297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15321-2023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46297</v>
      </c>
      <c r="F32" t="inlineStr">
        <is>
          <t>VÄRMLANDS LÄN</t>
        </is>
      </c>
      <c r="G32" t="inlineStr">
        <is>
          <t>GRUMS</t>
        </is>
      </c>
      <c r="I32" t="n">
        <v>5.2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Vätteros</t>
        </is>
      </c>
      <c r="W32">
        <f>HYPERLINK("https://klasma.github.io/Logging_1764/artfynd/A 15321-2023 artfynd.xlsx", "A 15321-2023")</f>
        <v/>
      </c>
      <c r="X32">
        <f>HYPERLINK("https://klasma.github.io/Logging_1764/kartor/A 15321-2023 karta.png", "A 15321-2023")</f>
        <v/>
      </c>
      <c r="Y32">
        <f>HYPERLINK("https://klasma.github.io/Logging_1764/kartor_geotiff/A 15321-2023 georefererad karta.tif", "A 15321-2023")</f>
        <v/>
      </c>
      <c r="AA32">
        <f>HYPERLINK("https://klasma.github.io/Logging_1764/klagomål/A 15321-2023 FSC-klagomål.docx", "A 15321-2023")</f>
        <v/>
      </c>
      <c r="AB32">
        <f>HYPERLINK("https://klasma.github.io/Logging_1764/klagomålsmail/A 15321-2023 FSC-klagomål mail.docx", "A 15321-2023")</f>
        <v/>
      </c>
      <c r="AC32">
        <f>HYPERLINK("https://klasma.github.io/Logging_1764/tillsyn/A 15321-2023 tillsynsbegäran.docx", "A 15321-2023")</f>
        <v/>
      </c>
      <c r="AD32">
        <f>HYPERLINK("https://klasma.github.io/Logging_1764/tillsynsmail/A 15321-2023 tillsynsbegäran mail.docx", "A 15321-2023")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46297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46297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46297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46297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46297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46297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46297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46297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46297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46297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46297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46297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46297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46297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46297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46297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46297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46297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46297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46297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46297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46297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46297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46297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46297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46297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46297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46297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46297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46297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46297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46297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46297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46297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46297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46297</v>
      </c>
      <c r="F68" t="inlineStr">
        <is>
          <t>VÄRMLANDS LÄN</t>
        </is>
      </c>
      <c r="G68" t="inlineStr">
        <is>
          <t>GRUMS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46297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46297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46297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46297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46297</v>
      </c>
      <c r="F73" t="inlineStr">
        <is>
          <t>VÄRMLANDS LÄN</t>
        </is>
      </c>
      <c r="G73" t="inlineStr">
        <is>
          <t>GRUMS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46297</v>
      </c>
      <c r="F74" t="inlineStr">
        <is>
          <t>VÄRMLANDS LÄN</t>
        </is>
      </c>
      <c r="G74" t="inlineStr">
        <is>
          <t>GRUMS</t>
        </is>
      </c>
      <c r="I74" t="n">
        <v>13.7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23189-2024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45450</v>
      </c>
      <c r="E75" s="1" t="n">
        <v>46297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46297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46297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45467</v>
      </c>
      <c r="E78" s="1" t="n">
        <v>46297</v>
      </c>
      <c r="F78" t="inlineStr">
        <is>
          <t>VÄRMLANDS LÄN</t>
        </is>
      </c>
      <c r="G78" t="inlineStr">
        <is>
          <t>GRUMS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45989</v>
      </c>
      <c r="E79" s="1" t="n">
        <v>46297</v>
      </c>
      <c r="F79" t="inlineStr">
        <is>
          <t>VÄRMLANDS LÄN</t>
        </is>
      </c>
      <c r="G79" t="inlineStr">
        <is>
          <t>GRUMS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46297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45461</v>
      </c>
      <c r="E81" s="1" t="n">
        <v>46297</v>
      </c>
      <c r="F81" t="inlineStr">
        <is>
          <t>VÄRMLANDS LÄN</t>
        </is>
      </c>
      <c r="G81" t="inlineStr">
        <is>
          <t>GRUMS</t>
        </is>
      </c>
      <c r="I81" t="n">
        <v>12.8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46297</v>
      </c>
      <c r="F82" t="inlineStr">
        <is>
          <t>VÄRMLANDS LÄN</t>
        </is>
      </c>
      <c r="G82" t="inlineStr">
        <is>
          <t>GRUMS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46297</v>
      </c>
      <c r="F83" t="inlineStr">
        <is>
          <t>VÄRMLANDS LÄN</t>
        </is>
      </c>
      <c r="G83" t="inlineStr">
        <is>
          <t>GRUMS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46039</v>
      </c>
      <c r="E84" s="1" t="n">
        <v>46297</v>
      </c>
      <c r="F84" t="inlineStr">
        <is>
          <t>VÄRMLANDS LÄN</t>
        </is>
      </c>
      <c r="G84" t="inlineStr">
        <is>
          <t>GRUMS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46297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45735</v>
      </c>
      <c r="E86" s="1" t="n">
        <v>46297</v>
      </c>
      <c r="F86" t="inlineStr">
        <is>
          <t>VÄRMLANDS LÄN</t>
        </is>
      </c>
      <c r="G86" t="inlineStr">
        <is>
          <t>GRUMS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45467-2022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44845</v>
      </c>
      <c r="E87" s="1" t="n">
        <v>46297</v>
      </c>
      <c r="F87" t="inlineStr">
        <is>
          <t>VÄRMLANDS LÄN</t>
        </is>
      </c>
      <c r="G87" t="inlineStr">
        <is>
          <t>GRUMS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46297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46297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46297</v>
      </c>
      <c r="F90" t="inlineStr">
        <is>
          <t>VÄRMLANDS LÄN</t>
        </is>
      </c>
      <c r="G90" t="inlineStr">
        <is>
          <t>GRUMS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46297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44608</v>
      </c>
      <c r="E92" s="1" t="n">
        <v>46297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46297</v>
      </c>
      <c r="F93" t="inlineStr">
        <is>
          <t>VÄRMLANDS LÄN</t>
        </is>
      </c>
      <c r="G93" t="inlineStr">
        <is>
          <t>GRUMS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46297</v>
      </c>
      <c r="F94" t="inlineStr">
        <is>
          <t>VÄRMLANDS LÄN</t>
        </is>
      </c>
      <c r="G94" t="inlineStr">
        <is>
          <t>GRUMS</t>
        </is>
      </c>
      <c r="I94" t="n">
        <v>14.3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46297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46297</v>
      </c>
      <c r="F96" t="inlineStr">
        <is>
          <t>VÄRMLANDS LÄN</t>
        </is>
      </c>
      <c r="G96" t="inlineStr">
        <is>
          <t>GRUMS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46297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12283-2026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46087</v>
      </c>
      <c r="E98" s="1" t="n">
        <v>46297</v>
      </c>
      <c r="F98" t="inlineStr">
        <is>
          <t>VÄRMLANDS LÄN</t>
        </is>
      </c>
      <c r="G98" t="inlineStr">
        <is>
          <t>GRUMS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46297</v>
      </c>
      <c r="F99" t="inlineStr">
        <is>
          <t>VÄRMLANDS LÄN</t>
        </is>
      </c>
      <c r="G99" t="inlineStr">
        <is>
          <t>GRUMS</t>
        </is>
      </c>
      <c r="I99" t="n">
        <v>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46297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46297</v>
      </c>
      <c r="F101" t="inlineStr">
        <is>
          <t>VÄRMLANDS LÄN</t>
        </is>
      </c>
      <c r="G101" t="inlineStr">
        <is>
          <t>GRUMS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7991-2024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45350</v>
      </c>
      <c r="E102" s="1" t="n">
        <v>46297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45152</v>
      </c>
      <c r="E103" s="1" t="n">
        <v>46297</v>
      </c>
      <c r="F103" t="inlineStr">
        <is>
          <t>VÄRMLANDS LÄN</t>
        </is>
      </c>
      <c r="G103" t="inlineStr">
        <is>
          <t>GRUMS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51509-2025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45950</v>
      </c>
      <c r="E104" s="1" t="n">
        <v>46297</v>
      </c>
      <c r="F104" t="inlineStr">
        <is>
          <t>VÄRMLANDS LÄN</t>
        </is>
      </c>
      <c r="G104" t="inlineStr">
        <is>
          <t>GRUMS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46297</v>
      </c>
      <c r="F105" t="inlineStr">
        <is>
          <t>VÄRMLANDS LÄN</t>
        </is>
      </c>
      <c r="G105" t="inlineStr">
        <is>
          <t>GRUMS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14688-2026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46101</v>
      </c>
      <c r="E106" s="1" t="n">
        <v>46297</v>
      </c>
      <c r="F106" t="inlineStr">
        <is>
          <t>VÄRMLANDS LÄN</t>
        </is>
      </c>
      <c r="G106" t="inlineStr">
        <is>
          <t>GRUMS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52700-2025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45956</v>
      </c>
      <c r="E107" s="1" t="n">
        <v>46297</v>
      </c>
      <c r="F107" t="inlineStr">
        <is>
          <t>VÄRMLANDS LÄN</t>
        </is>
      </c>
      <c r="G107" t="inlineStr">
        <is>
          <t>GRUMS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52699-2025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45956</v>
      </c>
      <c r="E108" s="1" t="n">
        <v>46297</v>
      </c>
      <c r="F108" t="inlineStr">
        <is>
          <t>VÄRMLANDS LÄN</t>
        </is>
      </c>
      <c r="G108" t="inlineStr">
        <is>
          <t>GRUMS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46297</v>
      </c>
      <c r="F109" t="inlineStr">
        <is>
          <t>VÄRMLANDS LÄN</t>
        </is>
      </c>
      <c r="G109" t="inlineStr">
        <is>
          <t>GRUMS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46297</v>
      </c>
      <c r="F110" t="inlineStr">
        <is>
          <t>VÄRMLANDS LÄN</t>
        </is>
      </c>
      <c r="G110" t="inlineStr">
        <is>
          <t>GRUMS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46297</v>
      </c>
      <c r="F111" t="inlineStr">
        <is>
          <t>VÄRMLANDS LÄN</t>
        </is>
      </c>
      <c r="G111" t="inlineStr">
        <is>
          <t>GRUMS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46297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46297</v>
      </c>
      <c r="F113" t="inlineStr">
        <is>
          <t>VÄRMLANDS LÄN</t>
        </is>
      </c>
      <c r="G113" t="inlineStr">
        <is>
          <t>GRUMS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46297</v>
      </c>
      <c r="F114" t="inlineStr">
        <is>
          <t>VÄRMLANDS LÄN</t>
        </is>
      </c>
      <c r="G114" t="inlineStr">
        <is>
          <t>GRUMS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46297</v>
      </c>
      <c r="F115" t="inlineStr">
        <is>
          <t>VÄRMLANDS LÄN</t>
        </is>
      </c>
      <c r="G115" t="inlineStr">
        <is>
          <t>GRUMS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46297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46297</v>
      </c>
      <c r="F117" t="inlineStr">
        <is>
          <t>VÄRMLANDS LÄN</t>
        </is>
      </c>
      <c r="G117" t="inlineStr">
        <is>
          <t>GRUMS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46297</v>
      </c>
      <c r="F118" t="inlineStr">
        <is>
          <t>VÄRMLANDS LÄN</t>
        </is>
      </c>
      <c r="G118" t="inlineStr">
        <is>
          <t>GRUMS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46297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29256-2025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46297</v>
      </c>
      <c r="F120" t="inlineStr">
        <is>
          <t>VÄRMLANDS LÄN</t>
        </is>
      </c>
      <c r="G120" t="inlineStr">
        <is>
          <t>GRUMS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46297</v>
      </c>
      <c r="F121" t="inlineStr">
        <is>
          <t>VÄRMLANDS LÄN</t>
        </is>
      </c>
      <c r="G121" t="inlineStr">
        <is>
          <t>GRUMS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46297</v>
      </c>
      <c r="F122" t="inlineStr">
        <is>
          <t>VÄRMLANDS LÄN</t>
        </is>
      </c>
      <c r="G122" t="inlineStr">
        <is>
          <t>GRUMS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46297</v>
      </c>
      <c r="F123" t="inlineStr">
        <is>
          <t>VÄRMLANDS LÄN</t>
        </is>
      </c>
      <c r="G123" t="inlineStr">
        <is>
          <t>GRUMS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46297</v>
      </c>
      <c r="F124" t="inlineStr">
        <is>
          <t>VÄRMLANDS LÄN</t>
        </is>
      </c>
      <c r="G124" t="inlineStr">
        <is>
          <t>GRUMS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46297</v>
      </c>
      <c r="F125" t="inlineStr">
        <is>
          <t>VÄRMLANDS LÄN</t>
        </is>
      </c>
      <c r="G125" t="inlineStr">
        <is>
          <t>GRUMS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46297</v>
      </c>
      <c r="F126" t="inlineStr">
        <is>
          <t>VÄRMLANDS LÄN</t>
        </is>
      </c>
      <c r="G126" t="inlineStr">
        <is>
          <t>GRUMS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45896</v>
      </c>
      <c r="E127" s="1" t="n">
        <v>46297</v>
      </c>
      <c r="F127" t="inlineStr">
        <is>
          <t>VÄRMLANDS LÄN</t>
        </is>
      </c>
      <c r="G127" t="inlineStr">
        <is>
          <t>GRUMS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46297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45691</v>
      </c>
      <c r="E129" s="1" t="n">
        <v>46297</v>
      </c>
      <c r="F129" t="inlineStr">
        <is>
          <t>VÄRMLANDS LÄN</t>
        </is>
      </c>
      <c r="G129" t="inlineStr">
        <is>
          <t>GRUMS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46297</v>
      </c>
      <c r="F130" t="inlineStr">
        <is>
          <t>VÄRMLANDS LÄN</t>
        </is>
      </c>
      <c r="G130" t="inlineStr">
        <is>
          <t>GRUMS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46297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46297</v>
      </c>
      <c r="F132" t="inlineStr">
        <is>
          <t>VÄRMLANDS LÄN</t>
        </is>
      </c>
      <c r="G132" t="inlineStr">
        <is>
          <t>GRUMS</t>
        </is>
      </c>
      <c r="H132" t="inlineStr">
        <is>
          <t>Bergvik skog väst AB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45776</v>
      </c>
      <c r="E133" s="1" t="n">
        <v>46297</v>
      </c>
      <c r="F133" t="inlineStr">
        <is>
          <t>VÄRMLANDS LÄN</t>
        </is>
      </c>
      <c r="G133" t="inlineStr">
        <is>
          <t>GRUMS</t>
        </is>
      </c>
      <c r="I133" t="n">
        <v>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30339-2022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46297</v>
      </c>
      <c r="F134" t="inlineStr">
        <is>
          <t>VÄRMLANDS LÄN</t>
        </is>
      </c>
      <c r="G134" t="inlineStr">
        <is>
          <t>GRUMS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46297</v>
      </c>
      <c r="F135" t="inlineStr">
        <is>
          <t>VÄRMLANDS LÄN</t>
        </is>
      </c>
      <c r="G135" t="inlineStr">
        <is>
          <t>GRUMS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46297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45665</v>
      </c>
      <c r="E137" s="1" t="n">
        <v>46297</v>
      </c>
      <c r="F137" t="inlineStr">
        <is>
          <t>VÄRMLANDS LÄN</t>
        </is>
      </c>
      <c r="G137" t="inlineStr">
        <is>
          <t>GRUMS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46297</v>
      </c>
      <c r="F138" t="inlineStr">
        <is>
          <t>VÄRMLANDS LÄN</t>
        </is>
      </c>
      <c r="G138" t="inlineStr">
        <is>
          <t>GRUMS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46297</v>
      </c>
      <c r="F139" t="inlineStr">
        <is>
          <t>VÄRMLANDS LÄN</t>
        </is>
      </c>
      <c r="G139" t="inlineStr">
        <is>
          <t>GRUMS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45836</v>
      </c>
      <c r="E140" s="1" t="n">
        <v>46297</v>
      </c>
      <c r="F140" t="inlineStr">
        <is>
          <t>VÄRMLANDS LÄN</t>
        </is>
      </c>
      <c r="G140" t="inlineStr">
        <is>
          <t>GRUMS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45708</v>
      </c>
      <c r="E141" s="1" t="n">
        <v>46297</v>
      </c>
      <c r="F141" t="inlineStr">
        <is>
          <t>VÄRMLANDS LÄN</t>
        </is>
      </c>
      <c r="G141" t="inlineStr">
        <is>
          <t>GRUMS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46297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46297</v>
      </c>
      <c r="F143" t="inlineStr">
        <is>
          <t>VÄRMLANDS LÄN</t>
        </is>
      </c>
      <c r="G143" t="inlineStr">
        <is>
          <t>GRUMS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46297</v>
      </c>
      <c r="F144" t="inlineStr">
        <is>
          <t>VÄRMLANDS LÄN</t>
        </is>
      </c>
      <c r="G144" t="inlineStr">
        <is>
          <t>GRUMS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46297</v>
      </c>
      <c r="F145" t="inlineStr">
        <is>
          <t>VÄRMLANDS LÄN</t>
        </is>
      </c>
      <c r="G145" t="inlineStr">
        <is>
          <t>GRUMS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46297</v>
      </c>
      <c r="F146" t="inlineStr">
        <is>
          <t>VÄRMLANDS LÄN</t>
        </is>
      </c>
      <c r="G146" t="inlineStr">
        <is>
          <t>GRUMS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45877</v>
      </c>
      <c r="E147" s="1" t="n">
        <v>46297</v>
      </c>
      <c r="F147" t="inlineStr">
        <is>
          <t>VÄRMLANDS LÄN</t>
        </is>
      </c>
      <c r="G147" t="inlineStr">
        <is>
          <t>GRUMS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45877</v>
      </c>
      <c r="E148" s="1" t="n">
        <v>46297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45877</v>
      </c>
      <c r="E149" s="1" t="n">
        <v>46297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46297</v>
      </c>
      <c r="F150" t="inlineStr">
        <is>
          <t>VÄRMLANDS LÄN</t>
        </is>
      </c>
      <c r="G150" t="inlineStr">
        <is>
          <t>GRUMS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46297</v>
      </c>
      <c r="F151" t="inlineStr">
        <is>
          <t>VÄRMLANDS LÄN</t>
        </is>
      </c>
      <c r="G151" t="inlineStr">
        <is>
          <t>GRUMS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46297</v>
      </c>
      <c r="F152" t="inlineStr">
        <is>
          <t>VÄRMLANDS LÄN</t>
        </is>
      </c>
      <c r="G152" t="inlineStr">
        <is>
          <t>GRUMS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46297</v>
      </c>
      <c r="F153" t="inlineStr">
        <is>
          <t>VÄRMLANDS LÄN</t>
        </is>
      </c>
      <c r="G153" t="inlineStr">
        <is>
          <t>GRUMS</t>
        </is>
      </c>
      <c r="I153" t="n">
        <v>13.8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6938-2024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45343</v>
      </c>
      <c r="E154" s="1" t="n">
        <v>46297</v>
      </c>
      <c r="F154" t="inlineStr">
        <is>
          <t>VÄRMLANDS LÄN</t>
        </is>
      </c>
      <c r="G154" t="inlineStr">
        <is>
          <t>GRUMS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46297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46297</v>
      </c>
      <c r="F156" t="inlineStr">
        <is>
          <t>VÄRMLANDS LÄN</t>
        </is>
      </c>
      <c r="G156" t="inlineStr">
        <is>
          <t>GRUMS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46297</v>
      </c>
      <c r="F157" t="inlineStr">
        <is>
          <t>VÄRMLANDS LÄN</t>
        </is>
      </c>
      <c r="G157" t="inlineStr">
        <is>
          <t>GRUMS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46297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46297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46297</v>
      </c>
      <c r="F160" t="inlineStr">
        <is>
          <t>VÄRMLANDS LÄN</t>
        </is>
      </c>
      <c r="G160" t="inlineStr">
        <is>
          <t>GRUMS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45011</v>
      </c>
      <c r="E161" s="1" t="n">
        <v>46297</v>
      </c>
      <c r="F161" t="inlineStr">
        <is>
          <t>VÄRMLANDS LÄN</t>
        </is>
      </c>
      <c r="G161" t="inlineStr">
        <is>
          <t>GRUMS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46297</v>
      </c>
      <c r="F162" t="inlineStr">
        <is>
          <t>VÄRMLANDS LÄN</t>
        </is>
      </c>
      <c r="G162" t="inlineStr">
        <is>
          <t>GRUMS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45681</v>
      </c>
      <c r="E163" s="1" t="n">
        <v>46297</v>
      </c>
      <c r="F163" t="inlineStr">
        <is>
          <t>VÄRMLANDS LÄN</t>
        </is>
      </c>
      <c r="G163" t="inlineStr">
        <is>
          <t>GRUMS</t>
        </is>
      </c>
      <c r="H163" t="inlineStr">
        <is>
          <t>BillerudKorsnäs AB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46297</v>
      </c>
      <c r="F164" t="inlineStr">
        <is>
          <t>VÄRMLANDS LÄN</t>
        </is>
      </c>
      <c r="G164" t="inlineStr">
        <is>
          <t>GRUMS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46297</v>
      </c>
      <c r="F165" t="inlineStr">
        <is>
          <t>VÄRMLANDS LÄN</t>
        </is>
      </c>
      <c r="G165" t="inlineStr">
        <is>
          <t>GRUMS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45336</v>
      </c>
      <c r="E166" s="1" t="n">
        <v>46297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71903-2021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46297</v>
      </c>
      <c r="F167" t="inlineStr">
        <is>
          <t>VÄRMLANDS LÄN</t>
        </is>
      </c>
      <c r="G167" t="inlineStr">
        <is>
          <t>GRUMS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46297</v>
      </c>
      <c r="F168" t="inlineStr">
        <is>
          <t>VÄRMLANDS LÄN</t>
        </is>
      </c>
      <c r="G168" t="inlineStr">
        <is>
          <t>GRUMS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46297</v>
      </c>
      <c r="F169" t="inlineStr">
        <is>
          <t>VÄRMLANDS LÄN</t>
        </is>
      </c>
      <c r="G169" t="inlineStr">
        <is>
          <t>GRUMS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46164</v>
      </c>
      <c r="E170" s="1" t="n">
        <v>46297</v>
      </c>
      <c r="F170" t="inlineStr">
        <is>
          <t>VÄRMLANDS LÄN</t>
        </is>
      </c>
      <c r="G170" t="inlineStr">
        <is>
          <t>GRUMS</t>
        </is>
      </c>
      <c r="H170" t="inlineStr">
        <is>
          <t>Kommuner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46297</v>
      </c>
      <c r="F171" t="inlineStr">
        <is>
          <t>VÄRMLANDS LÄN</t>
        </is>
      </c>
      <c r="G171" t="inlineStr">
        <is>
          <t>GRUMS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46164</v>
      </c>
      <c r="E172" s="1" t="n">
        <v>46297</v>
      </c>
      <c r="F172" t="inlineStr">
        <is>
          <t>VÄRMLANDS LÄN</t>
        </is>
      </c>
      <c r="G172" t="inlineStr">
        <is>
          <t>GRUMS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69847-2021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44532</v>
      </c>
      <c r="E173" s="1" t="n">
        <v>46297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46297</v>
      </c>
      <c r="F174" t="inlineStr">
        <is>
          <t>VÄRMLANDS LÄN</t>
        </is>
      </c>
      <c r="G174" t="inlineStr">
        <is>
          <t>GRUMS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44543</v>
      </c>
      <c r="E175" s="1" t="n">
        <v>46297</v>
      </c>
      <c r="F175" t="inlineStr">
        <is>
          <t>VÄRMLANDS LÄN</t>
        </is>
      </c>
      <c r="G175" t="inlineStr">
        <is>
          <t>GRUMS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46297</v>
      </c>
      <c r="F176" t="inlineStr">
        <is>
          <t>VÄRMLANDS LÄN</t>
        </is>
      </c>
      <c r="G176" t="inlineStr">
        <is>
          <t>GRUMS</t>
        </is>
      </c>
      <c r="H176" t="inlineStr">
        <is>
          <t>Kommuner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47152-2023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45201</v>
      </c>
      <c r="E177" s="1" t="n">
        <v>46297</v>
      </c>
      <c r="F177" t="inlineStr">
        <is>
          <t>VÄRMLANDS LÄN</t>
        </is>
      </c>
      <c r="G177" t="inlineStr">
        <is>
          <t>GRUMS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46297</v>
      </c>
      <c r="F178" t="inlineStr">
        <is>
          <t>VÄRMLANDS LÄN</t>
        </is>
      </c>
      <c r="G178" t="inlineStr">
        <is>
          <t>GRUMS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46297</v>
      </c>
      <c r="F179" t="inlineStr">
        <is>
          <t>VÄRMLANDS LÄN</t>
        </is>
      </c>
      <c r="G179" t="inlineStr">
        <is>
          <t>GRUMS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46297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66056-2021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44517</v>
      </c>
      <c r="E181" s="1" t="n">
        <v>46297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46297</v>
      </c>
      <c r="F182" t="inlineStr">
        <is>
          <t>VÄRMLANDS LÄN</t>
        </is>
      </c>
      <c r="G182" t="inlineStr">
        <is>
          <t>GRUMS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46297</v>
      </c>
      <c r="F183" t="inlineStr">
        <is>
          <t>VÄRMLANDS LÄN</t>
        </is>
      </c>
      <c r="G183" t="inlineStr">
        <is>
          <t>GRUMS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46297</v>
      </c>
      <c r="F184" t="inlineStr">
        <is>
          <t>VÄRMLANDS LÄN</t>
        </is>
      </c>
      <c r="G184" t="inlineStr">
        <is>
          <t>GRUMS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46297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26015-2026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46181</v>
      </c>
      <c r="E186" s="1" t="n">
        <v>46297</v>
      </c>
      <c r="F186" t="inlineStr">
        <is>
          <t>VÄRMLANDS LÄN</t>
        </is>
      </c>
      <c r="G186" t="inlineStr">
        <is>
          <t>GRUMS</t>
        </is>
      </c>
      <c r="H186" t="inlineStr">
        <is>
          <t>Kommuner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46297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46297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46297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45329</v>
      </c>
      <c r="E190" s="1" t="n">
        <v>46297</v>
      </c>
      <c r="F190" t="inlineStr">
        <is>
          <t>VÄRMLANDS LÄN</t>
        </is>
      </c>
      <c r="G190" t="inlineStr">
        <is>
          <t>GRUMS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45377</v>
      </c>
      <c r="E191" s="1" t="n">
        <v>46297</v>
      </c>
      <c r="F191" t="inlineStr">
        <is>
          <t>VÄRMLANDS LÄN</t>
        </is>
      </c>
      <c r="G191" t="inlineStr">
        <is>
          <t>GRUMS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44762</v>
      </c>
      <c r="E192" s="1" t="n">
        <v>46297</v>
      </c>
      <c r="F192" t="inlineStr">
        <is>
          <t>VÄRMLANDS LÄN</t>
        </is>
      </c>
      <c r="G192" t="inlineStr">
        <is>
          <t>GRUMS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46297</v>
      </c>
      <c r="F193" t="inlineStr">
        <is>
          <t>VÄRMLANDS LÄN</t>
        </is>
      </c>
      <c r="G193" t="inlineStr">
        <is>
          <t>GRUMS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46297</v>
      </c>
      <c r="F194" t="inlineStr">
        <is>
          <t>VÄRMLANDS LÄN</t>
        </is>
      </c>
      <c r="G194" t="inlineStr">
        <is>
          <t>GRUMS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46297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46297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46297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46297</v>
      </c>
      <c r="F198" t="inlineStr">
        <is>
          <t>VÄRMLANDS LÄN</t>
        </is>
      </c>
      <c r="G198" t="inlineStr">
        <is>
          <t>GRUMS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46297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46297</v>
      </c>
      <c r="F200" t="inlineStr">
        <is>
          <t>VÄRMLANDS LÄN</t>
        </is>
      </c>
      <c r="G200" t="inlineStr">
        <is>
          <t>GRUMS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46297</v>
      </c>
      <c r="F201" t="inlineStr">
        <is>
          <t>VÄRMLANDS LÄN</t>
        </is>
      </c>
      <c r="G201" t="inlineStr">
        <is>
          <t>GRUMS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46202</v>
      </c>
      <c r="E202" s="1" t="n">
        <v>46297</v>
      </c>
      <c r="F202" t="inlineStr">
        <is>
          <t>VÄRMLANDS LÄN</t>
        </is>
      </c>
      <c r="G202" t="inlineStr">
        <is>
          <t>GRUMS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46297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46297</v>
      </c>
      <c r="F204" t="inlineStr">
        <is>
          <t>VÄRMLANDS LÄN</t>
        </is>
      </c>
      <c r="G204" t="inlineStr">
        <is>
          <t>GRUMS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44635</v>
      </c>
      <c r="E205" s="1" t="n">
        <v>46297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40935-2022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44823</v>
      </c>
      <c r="E206" s="1" t="n">
        <v>46297</v>
      </c>
      <c r="F206" t="inlineStr">
        <is>
          <t>VÄRMLANDS LÄN</t>
        </is>
      </c>
      <c r="G206" t="inlineStr">
        <is>
          <t>GRUMS</t>
        </is>
      </c>
      <c r="H206" t="inlineStr">
        <is>
          <t>Bergvik skog väst AB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46297</v>
      </c>
      <c r="F207" t="inlineStr">
        <is>
          <t>VÄRMLANDS LÄN</t>
        </is>
      </c>
      <c r="G207" t="inlineStr">
        <is>
          <t>GRUMS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46297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46297</v>
      </c>
      <c r="F209" t="inlineStr">
        <is>
          <t>VÄRMLANDS LÄN</t>
        </is>
      </c>
      <c r="G209" t="inlineStr">
        <is>
          <t>GRUMS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46297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46297</v>
      </c>
      <c r="F211" t="inlineStr">
        <is>
          <t>VÄRMLANDS LÄN</t>
        </is>
      </c>
      <c r="G211" t="inlineStr">
        <is>
          <t>GRUMS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46297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46255</v>
      </c>
      <c r="E213" s="1" t="n">
        <v>46297</v>
      </c>
      <c r="F213" t="inlineStr">
        <is>
          <t>VÄRMLANDS LÄN</t>
        </is>
      </c>
      <c r="G213" t="inlineStr">
        <is>
          <t>GRUMS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45159</v>
      </c>
      <c r="E214" s="1" t="n">
        <v>46297</v>
      </c>
      <c r="F214" t="inlineStr">
        <is>
          <t>VÄRMLANDS LÄN</t>
        </is>
      </c>
      <c r="G214" t="inlineStr">
        <is>
          <t>GRUMS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46214</v>
      </c>
      <c r="E215" s="1" t="n">
        <v>46297</v>
      </c>
      <c r="F215" t="inlineStr">
        <is>
          <t>VÄRMLANDS LÄN</t>
        </is>
      </c>
      <c r="G215" t="inlineStr">
        <is>
          <t>GRUMS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46297</v>
      </c>
      <c r="F216" t="inlineStr">
        <is>
          <t>VÄRMLANDS LÄN</t>
        </is>
      </c>
      <c r="G216" t="inlineStr">
        <is>
          <t>GRUMS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46297</v>
      </c>
      <c r="F217" t="inlineStr">
        <is>
          <t>VÄRMLANDS LÄN</t>
        </is>
      </c>
      <c r="G217" t="inlineStr">
        <is>
          <t>GRUMS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46297</v>
      </c>
      <c r="F218" t="inlineStr">
        <is>
          <t>VÄRMLANDS LÄN</t>
        </is>
      </c>
      <c r="G218" t="inlineStr">
        <is>
          <t>GRUMS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46297</v>
      </c>
      <c r="F219" t="inlineStr">
        <is>
          <t>VÄRMLANDS LÄN</t>
        </is>
      </c>
      <c r="G219" t="inlineStr">
        <is>
          <t>GRUMS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44924</v>
      </c>
      <c r="E220" s="1" t="n">
        <v>46297</v>
      </c>
      <c r="F220" t="inlineStr">
        <is>
          <t>VÄRMLANDS LÄN</t>
        </is>
      </c>
      <c r="G220" t="inlineStr">
        <is>
          <t>GRUMS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46224</v>
      </c>
      <c r="E221" s="1" t="n">
        <v>46297</v>
      </c>
      <c r="F221" t="inlineStr">
        <is>
          <t>VÄRMLANDS LÄN</t>
        </is>
      </c>
      <c r="G221" t="inlineStr">
        <is>
          <t>GRUMS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46297</v>
      </c>
      <c r="F222" t="inlineStr">
        <is>
          <t>VÄRMLANDS LÄN</t>
        </is>
      </c>
      <c r="G222" t="inlineStr">
        <is>
          <t>GRUMS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46297</v>
      </c>
      <c r="F223" t="inlineStr">
        <is>
          <t>VÄRMLANDS LÄN</t>
        </is>
      </c>
      <c r="G223" t="inlineStr">
        <is>
          <t>GRUMS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46274</v>
      </c>
      <c r="E224" s="1" t="n">
        <v>46297</v>
      </c>
      <c r="F224" t="inlineStr">
        <is>
          <t>VÄRMLANDS LÄN</t>
        </is>
      </c>
      <c r="G224" t="inlineStr">
        <is>
          <t>GRUMS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46297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46274</v>
      </c>
      <c r="E226" s="1" t="n">
        <v>46297</v>
      </c>
      <c r="F226" t="inlineStr">
        <is>
          <t>VÄRMLANDS LÄN</t>
        </is>
      </c>
      <c r="G226" t="inlineStr">
        <is>
          <t>GRUMS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46297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46297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46297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46297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46297</v>
      </c>
      <c r="F231" t="inlineStr">
        <is>
          <t>VÄRMLANDS LÄN</t>
        </is>
      </c>
      <c r="G231" t="inlineStr">
        <is>
          <t>GRUMS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46297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44795</v>
      </c>
      <c r="E233" s="1" t="n">
        <v>46297</v>
      </c>
      <c r="F233" t="inlineStr">
        <is>
          <t>VÄRMLANDS LÄN</t>
        </is>
      </c>
      <c r="G233" t="inlineStr">
        <is>
          <t>GRUMS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46297</v>
      </c>
      <c r="F234" t="inlineStr">
        <is>
          <t>VÄRMLANDS LÄN</t>
        </is>
      </c>
      <c r="G234" t="inlineStr">
        <is>
          <t>GRUMS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46297</v>
      </c>
      <c r="F235" t="inlineStr">
        <is>
          <t>VÄRMLANDS LÄN</t>
        </is>
      </c>
      <c r="G235" t="inlineStr">
        <is>
          <t>GRUMS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46297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59542-2022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44907</v>
      </c>
      <c r="E237" s="1" t="n">
        <v>46297</v>
      </c>
      <c r="F237" t="inlineStr">
        <is>
          <t>VÄRMLANDS LÄN</t>
        </is>
      </c>
      <c r="G237" t="inlineStr">
        <is>
          <t>GRUMS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46297</v>
      </c>
      <c r="F238" t="inlineStr">
        <is>
          <t>VÄRMLANDS LÄN</t>
        </is>
      </c>
      <c r="G238" t="inlineStr">
        <is>
          <t>GRUMS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71781-2021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46297</v>
      </c>
      <c r="F239" t="inlineStr">
        <is>
          <t>VÄRMLANDS LÄN</t>
        </is>
      </c>
      <c r="G239" t="inlineStr">
        <is>
          <t>GRUMS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31930-2024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45510</v>
      </c>
      <c r="E240" s="1" t="n">
        <v>46297</v>
      </c>
      <c r="F240" t="inlineStr">
        <is>
          <t>VÄRMLANDS LÄN</t>
        </is>
      </c>
      <c r="G240" t="inlineStr">
        <is>
          <t>GRUMS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73901-2021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44552</v>
      </c>
      <c r="E241" s="1" t="n">
        <v>46297</v>
      </c>
      <c r="F241" t="inlineStr">
        <is>
          <t>VÄRMLANDS LÄN</t>
        </is>
      </c>
      <c r="G241" t="inlineStr">
        <is>
          <t>GRUMS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46244</v>
      </c>
      <c r="E242" s="1" t="n">
        <v>46297</v>
      </c>
      <c r="F242" t="inlineStr">
        <is>
          <t>VÄRMLANDS LÄN</t>
        </is>
      </c>
      <c r="G242" t="inlineStr">
        <is>
          <t>GRUMS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46297</v>
      </c>
      <c r="F243" t="inlineStr">
        <is>
          <t>VÄRMLANDS LÄN</t>
        </is>
      </c>
      <c r="G243" t="inlineStr">
        <is>
          <t>GRUMS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46297</v>
      </c>
      <c r="F244" t="inlineStr">
        <is>
          <t>VÄRMLANDS LÄN</t>
        </is>
      </c>
      <c r="G244" t="inlineStr">
        <is>
          <t>GRUMS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46297</v>
      </c>
      <c r="F245" t="inlineStr">
        <is>
          <t>VÄRMLANDS LÄN</t>
        </is>
      </c>
      <c r="G245" t="inlineStr">
        <is>
          <t>GRUMS</t>
        </is>
      </c>
      <c r="I245" t="n">
        <v>22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46297</v>
      </c>
      <c r="F246" t="inlineStr">
        <is>
          <t>VÄRMLANDS LÄN</t>
        </is>
      </c>
      <c r="G246" t="inlineStr">
        <is>
          <t>GRUMS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46297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46297</v>
      </c>
      <c r="F248" t="inlineStr">
        <is>
          <t>VÄRMLANDS LÄN</t>
        </is>
      </c>
      <c r="G248" t="inlineStr">
        <is>
          <t>GRUMS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45231</v>
      </c>
      <c r="E249" s="1" t="n">
        <v>46297</v>
      </c>
      <c r="F249" t="inlineStr">
        <is>
          <t>VÄRMLANDS LÄN</t>
        </is>
      </c>
      <c r="G249" t="inlineStr">
        <is>
          <t>GRUMS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46297</v>
      </c>
      <c r="F250" t="inlineStr">
        <is>
          <t>VÄRMLANDS LÄN</t>
        </is>
      </c>
      <c r="G250" t="inlineStr">
        <is>
          <t>GRUMS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46297</v>
      </c>
      <c r="F251" t="inlineStr">
        <is>
          <t>VÄRMLANDS LÄN</t>
        </is>
      </c>
      <c r="G251" t="inlineStr">
        <is>
          <t>GRUMS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73033-2021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44550</v>
      </c>
      <c r="E252" s="1" t="n">
        <v>46297</v>
      </c>
      <c r="F252" t="inlineStr">
        <is>
          <t>VÄRMLANDS LÄN</t>
        </is>
      </c>
      <c r="G252" t="inlineStr">
        <is>
          <t>GRUMS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64304-2023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46297</v>
      </c>
      <c r="F253" t="inlineStr">
        <is>
          <t>VÄRMLANDS LÄN</t>
        </is>
      </c>
      <c r="G253" t="inlineStr">
        <is>
          <t>GRUMS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46297</v>
      </c>
      <c r="F254" t="inlineStr">
        <is>
          <t>VÄRMLANDS LÄN</t>
        </is>
      </c>
      <c r="G254" t="inlineStr">
        <is>
          <t>GRUMS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45208</v>
      </c>
      <c r="E255" s="1" t="n">
        <v>46297</v>
      </c>
      <c r="F255" t="inlineStr">
        <is>
          <t>VÄRMLANDS LÄN</t>
        </is>
      </c>
      <c r="G255" t="inlineStr">
        <is>
          <t>GRUMS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45757</v>
      </c>
      <c r="E256" s="1" t="n">
        <v>46297</v>
      </c>
      <c r="F256" t="inlineStr">
        <is>
          <t>VÄRMLANDS LÄN</t>
        </is>
      </c>
      <c r="G256" t="inlineStr">
        <is>
          <t>GRUMS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46297</v>
      </c>
      <c r="F257" t="inlineStr">
        <is>
          <t>VÄRMLANDS LÄN</t>
        </is>
      </c>
      <c r="G257" t="inlineStr">
        <is>
          <t>GRUMS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46297</v>
      </c>
      <c r="F258" t="inlineStr">
        <is>
          <t>VÄRMLANDS LÄN</t>
        </is>
      </c>
      <c r="G258" t="inlineStr">
        <is>
          <t>GRUMS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46297</v>
      </c>
      <c r="F259" t="inlineStr">
        <is>
          <t>VÄRMLANDS LÄN</t>
        </is>
      </c>
      <c r="G259" t="inlineStr">
        <is>
          <t>GRUMS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46297</v>
      </c>
      <c r="F260" t="inlineStr">
        <is>
          <t>VÄRMLANDS LÄN</t>
        </is>
      </c>
      <c r="G260" t="inlineStr">
        <is>
          <t>GRUMS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46297</v>
      </c>
      <c r="F261" t="inlineStr">
        <is>
          <t>VÄRMLANDS LÄN</t>
        </is>
      </c>
      <c r="G261" t="inlineStr">
        <is>
          <t>GRUMS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45787</v>
      </c>
      <c r="E262" s="1" t="n">
        <v>46297</v>
      </c>
      <c r="F262" t="inlineStr">
        <is>
          <t>VÄRMLANDS LÄN</t>
        </is>
      </c>
      <c r="G262" t="inlineStr">
        <is>
          <t>GRUMS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46297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46297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46297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46297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46297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2026-10-02T02:00:57Z</dcterms:created>
  <dcterms:modified xmlns:dcterms="http://purl.org/dc/terms/" xmlns:xsi="http://www.w3.org/2001/XMLSchema-instance" xsi:type="dcterms:W3CDTF">2026-10-02T02:00:58Z</dcterms:modified>
</cp:coreProperties>
</file>