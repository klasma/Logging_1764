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46276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46276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46276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46276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46276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46276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46276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46276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46276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46276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46276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46276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46276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46276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10647-2024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45368</v>
      </c>
      <c r="E31" s="1" t="n">
        <v>46276</v>
      </c>
      <c r="F31" t="inlineStr">
        <is>
          <t>VÄRMLANDS LÄN</t>
        </is>
      </c>
      <c r="G31" t="inlineStr">
        <is>
          <t>GRUMS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Kråka</t>
        </is>
      </c>
      <c r="W31">
        <f>HYPERLINK("https://klasma.github.io/Logging_1764/artfynd/A 10647-2024 artfynd.xlsx", "A 10647-2024")</f>
        <v/>
      </c>
      <c r="X31">
        <f>HYPERLINK("https://klasma.github.io/Logging_1764/kartor/A 10647-2024 karta.png", "A 10647-2024")</f>
        <v/>
      </c>
      <c r="Y31">
        <f>HYPERLINK("https://klasma.github.io/Logging_1764/kartor_geotiff/A 10647-2024 georefererad karta.tif", "A 10647-2024")</f>
        <v/>
      </c>
      <c r="AA31">
        <f>HYPERLINK("https://klasma.github.io/Logging_1764/klagomål/A 10647-2024 FSC-klagomål.docx", "A 10647-2024")</f>
        <v/>
      </c>
      <c r="AB31">
        <f>HYPERLINK("https://klasma.github.io/Logging_1764/klagomålsmail/A 10647-2024 FSC-klagomål mail.docx", "A 10647-2024")</f>
        <v/>
      </c>
      <c r="AC31">
        <f>HYPERLINK("https://klasma.github.io/Logging_1764/tillsyn/A 10647-2024 tillsynsbegäran.docx", "A 10647-2024")</f>
        <v/>
      </c>
      <c r="AD31">
        <f>HYPERLINK("https://klasma.github.io/Logging_1764/tillsynsmail/A 10647-2024 tillsynsbegäran mail.docx", "A 10647-2024")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46276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46276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19052-2024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45427</v>
      </c>
      <c r="E34" s="1" t="n">
        <v>46276</v>
      </c>
      <c r="F34" t="inlineStr">
        <is>
          <t>VÄRMLANDS LÄN</t>
        </is>
      </c>
      <c r="G34" t="inlineStr">
        <is>
          <t>GRUMS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HYPERLINK("https://klasma.github.io/Logging_1764/artfynd/A 19052-2024 artfynd.xlsx", "A 19052-2024")</f>
        <v/>
      </c>
      <c r="X34">
        <f>HYPERLINK("https://klasma.github.io/Logging_1764/kartor/A 19052-2024 karta.png", "A 19052-2024")</f>
        <v/>
      </c>
      <c r="Y34">
        <f>HYPERLINK("https://klasma.github.io/Logging_1764/kartor_geotiff/A 19052-2024 georefererad karta.tif", "A 19052-2024")</f>
        <v/>
      </c>
      <c r="AA34">
        <f>HYPERLINK("https://klasma.github.io/Logging_1764/klagomål/A 19052-2024 FSC-klagomål.docx", "A 19052-2024")</f>
        <v/>
      </c>
      <c r="AB34">
        <f>HYPERLINK("https://klasma.github.io/Logging_1764/klagomålsmail/A 19052-2024 FSC-klagomål mail.docx", "A 19052-2024")</f>
        <v/>
      </c>
      <c r="AC34">
        <f>HYPERLINK("https://klasma.github.io/Logging_1764/tillsyn/A 19052-2024 tillsynsbegäran.docx", "A 19052-2024")</f>
        <v/>
      </c>
      <c r="AD34">
        <f>HYPERLINK("https://klasma.github.io/Logging_1764/tillsynsmail/A 19052-2024 tillsynsbegäran mail.docx", "A 19052-2024")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46276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46276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46276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46276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46276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34076-2026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46252</v>
      </c>
      <c r="E40" s="1" t="n">
        <v>46276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Skogsklocka</t>
        </is>
      </c>
      <c r="W40">
        <f>HYPERLINK("https://klasma.github.io/Logging_1764/artfynd/A 34076-2026 artfynd.xlsx", "A 34076-2026")</f>
        <v/>
      </c>
      <c r="X40">
        <f>HYPERLINK("https://klasma.github.io/Logging_1764/kartor/A 34076-2026 karta.png", "A 34076-2026")</f>
        <v/>
      </c>
      <c r="Y40">
        <f>HYPERLINK("https://klasma.github.io/Logging_1764/kartor_geotiff/A 34076-2026 georefererad karta.tif", "A 34076-2026")</f>
        <v/>
      </c>
      <c r="AA40">
        <f>HYPERLINK("https://klasma.github.io/Logging_1764/klagomål/A 34076-2026 FSC-klagomål.docx", "A 34076-2026")</f>
        <v/>
      </c>
      <c r="AB40">
        <f>HYPERLINK("https://klasma.github.io/Logging_1764/klagomålsmail/A 34076-2026 FSC-klagomål mail.docx", "A 34076-2026")</f>
        <v/>
      </c>
      <c r="AC40">
        <f>HYPERLINK("https://klasma.github.io/Logging_1764/tillsyn/A 34076-2026 tillsynsbegäran.docx", "A 34076-2026")</f>
        <v/>
      </c>
      <c r="AD40">
        <f>HYPERLINK("https://klasma.github.io/Logging_1764/tillsynsmail/A 34076-2026 tillsynsbegäran mail.docx", "A 34076-2026")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46276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46276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46276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46276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46276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46276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46276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46276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46276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46276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46276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46276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46276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46276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46276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46276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46276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46276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46276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46276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46276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46276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46276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46276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46276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46276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46276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46276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46276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46276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46276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46276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46276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46276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46276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46276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46276</v>
      </c>
      <c r="F77" t="inlineStr">
        <is>
          <t>VÄRMLANDS LÄN</t>
        </is>
      </c>
      <c r="G77" t="inlineStr">
        <is>
          <t>GRUMS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46276</v>
      </c>
      <c r="F78" t="inlineStr">
        <is>
          <t>VÄRMLANDS LÄN</t>
        </is>
      </c>
      <c r="G78" t="inlineStr">
        <is>
          <t>GRUMS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46276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46276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46276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46276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46276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46276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46276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46276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46276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46276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46276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46276</v>
      </c>
      <c r="F90" t="inlineStr">
        <is>
          <t>VÄRMLANDS LÄN</t>
        </is>
      </c>
      <c r="G90" t="inlineStr">
        <is>
          <t>GRUMS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46276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46276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46276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46276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46276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46276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46276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46276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46276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46276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46276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46276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46276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46276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46276</v>
      </c>
      <c r="F105" t="inlineStr">
        <is>
          <t>VÄRMLANDS LÄN</t>
        </is>
      </c>
      <c r="G105" t="inlineStr">
        <is>
          <t>GRUMS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46276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46276</v>
      </c>
      <c r="F107" t="inlineStr">
        <is>
          <t>VÄRMLANDS LÄN</t>
        </is>
      </c>
      <c r="G107" t="inlineStr">
        <is>
          <t>GRUMS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46276</v>
      </c>
      <c r="F108" t="inlineStr">
        <is>
          <t>VÄRMLANDS LÄN</t>
        </is>
      </c>
      <c r="G108" t="inlineStr">
        <is>
          <t>GRUMS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45836</v>
      </c>
      <c r="E109" s="1" t="n">
        <v>46276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46276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46276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46039</v>
      </c>
      <c r="E112" s="1" t="n">
        <v>46276</v>
      </c>
      <c r="F112" t="inlineStr">
        <is>
          <t>VÄRMLANDS LÄN</t>
        </is>
      </c>
      <c r="G112" t="inlineStr">
        <is>
          <t>GRUMS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46276</v>
      </c>
      <c r="F113" t="inlineStr">
        <is>
          <t>VÄRMLANDS LÄN</t>
        </is>
      </c>
      <c r="G113" t="inlineStr">
        <is>
          <t>GRUMS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29736-2023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46276</v>
      </c>
      <c r="F114" t="inlineStr">
        <is>
          <t>VÄRMLANDS LÄN</t>
        </is>
      </c>
      <c r="G114" t="inlineStr">
        <is>
          <t>GRUMS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46276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46276</v>
      </c>
      <c r="F116" t="inlineStr">
        <is>
          <t>VÄRMLANDS LÄN</t>
        </is>
      </c>
      <c r="G116" t="inlineStr">
        <is>
          <t>GRUMS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45049</v>
      </c>
      <c r="E117" s="1" t="n">
        <v>46276</v>
      </c>
      <c r="F117" t="inlineStr">
        <is>
          <t>VÄRMLANDS LÄN</t>
        </is>
      </c>
      <c r="G117" t="inlineStr">
        <is>
          <t>GRUMS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46276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46276</v>
      </c>
      <c r="F119" t="inlineStr">
        <is>
          <t>VÄRMLANDS LÄN</t>
        </is>
      </c>
      <c r="G119" t="inlineStr">
        <is>
          <t>GRUMS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46276</v>
      </c>
      <c r="F120" t="inlineStr">
        <is>
          <t>VÄRMLANDS LÄN</t>
        </is>
      </c>
      <c r="G120" t="inlineStr">
        <is>
          <t>GRUMS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46276</v>
      </c>
      <c r="F121" t="inlineStr">
        <is>
          <t>VÄRMLANDS LÄN</t>
        </is>
      </c>
      <c r="G121" t="inlineStr">
        <is>
          <t>GRUMS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46276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46276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46276</v>
      </c>
      <c r="F124" t="inlineStr">
        <is>
          <t>VÄRMLANDS LÄN</t>
        </is>
      </c>
      <c r="G124" t="inlineStr">
        <is>
          <t>GRUMS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69847-2021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46276</v>
      </c>
      <c r="F125" t="inlineStr">
        <is>
          <t>VÄRMLANDS LÄN</t>
        </is>
      </c>
      <c r="G125" t="inlineStr">
        <is>
          <t>GRUMS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46276</v>
      </c>
      <c r="F126" t="inlineStr">
        <is>
          <t>VÄRMLANDS LÄN</t>
        </is>
      </c>
      <c r="G126" t="inlineStr">
        <is>
          <t>GRUMS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45070</v>
      </c>
      <c r="E127" s="1" t="n">
        <v>46276</v>
      </c>
      <c r="F127" t="inlineStr">
        <is>
          <t>VÄRMLANDS LÄN</t>
        </is>
      </c>
      <c r="G127" t="inlineStr">
        <is>
          <t>GRUMS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46276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46276</v>
      </c>
      <c r="F129" t="inlineStr">
        <is>
          <t>VÄRMLANDS LÄN</t>
        </is>
      </c>
      <c r="G129" t="inlineStr">
        <is>
          <t>GRUMS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46276</v>
      </c>
      <c r="F130" t="inlineStr">
        <is>
          <t>VÄRMLANDS LÄN</t>
        </is>
      </c>
      <c r="G130" t="inlineStr">
        <is>
          <t>GRUMS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46276</v>
      </c>
      <c r="F131" t="inlineStr">
        <is>
          <t>VÄRMLANDS LÄN</t>
        </is>
      </c>
      <c r="G131" t="inlineStr">
        <is>
          <t>GRUMS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46276</v>
      </c>
      <c r="F132" t="inlineStr">
        <is>
          <t>VÄRMLANDS LÄN</t>
        </is>
      </c>
      <c r="G132" t="inlineStr">
        <is>
          <t>GRUMS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51509-2025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45950</v>
      </c>
      <c r="E133" s="1" t="n">
        <v>46276</v>
      </c>
      <c r="F133" t="inlineStr">
        <is>
          <t>VÄRMLANDS LÄN</t>
        </is>
      </c>
      <c r="G133" t="inlineStr">
        <is>
          <t>GRUMS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45159</v>
      </c>
      <c r="E134" s="1" t="n">
        <v>46276</v>
      </c>
      <c r="F134" t="inlineStr">
        <is>
          <t>VÄRMLANDS LÄN</t>
        </is>
      </c>
      <c r="G134" t="inlineStr">
        <is>
          <t>GRUMS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46276</v>
      </c>
      <c r="F135" t="inlineStr">
        <is>
          <t>VÄRMLANDS LÄN</t>
        </is>
      </c>
      <c r="G135" t="inlineStr">
        <is>
          <t>GRUMS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46276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45956</v>
      </c>
      <c r="E137" s="1" t="n">
        <v>46276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46276</v>
      </c>
      <c r="F138" t="inlineStr">
        <is>
          <t>VÄRMLANDS LÄN</t>
        </is>
      </c>
      <c r="G138" t="inlineStr">
        <is>
          <t>GRUMS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46276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44795</v>
      </c>
      <c r="E140" s="1" t="n">
        <v>46276</v>
      </c>
      <c r="F140" t="inlineStr">
        <is>
          <t>VÄRMLANDS LÄN</t>
        </is>
      </c>
      <c r="G140" t="inlineStr">
        <is>
          <t>GRUMS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46276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46276</v>
      </c>
      <c r="F142" t="inlineStr">
        <is>
          <t>VÄRMLANDS LÄN</t>
        </is>
      </c>
      <c r="G142" t="inlineStr">
        <is>
          <t>GRUMS</t>
        </is>
      </c>
      <c r="I142" t="n">
        <v>13.7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46276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46276</v>
      </c>
      <c r="F144" t="inlineStr">
        <is>
          <t>VÄRMLANDS LÄN</t>
        </is>
      </c>
      <c r="G144" t="inlineStr">
        <is>
          <t>GRUMS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46276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45505</v>
      </c>
      <c r="E146" s="1" t="n">
        <v>46276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46276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46276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14688-2026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46101</v>
      </c>
      <c r="E149" s="1" t="n">
        <v>46276</v>
      </c>
      <c r="F149" t="inlineStr">
        <is>
          <t>VÄRMLANDS LÄN</t>
        </is>
      </c>
      <c r="G149" t="inlineStr">
        <is>
          <t>GRUMS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46276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46276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46276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46276</v>
      </c>
      <c r="F153" t="inlineStr">
        <is>
          <t>VÄRMLANDS LÄN</t>
        </is>
      </c>
      <c r="G153" t="inlineStr">
        <is>
          <t>GRUMS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46276</v>
      </c>
      <c r="F154" t="inlineStr">
        <is>
          <t>VÄRMLANDS LÄN</t>
        </is>
      </c>
      <c r="G154" t="inlineStr">
        <is>
          <t>GRUMS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45996</v>
      </c>
      <c r="E155" s="1" t="n">
        <v>46276</v>
      </c>
      <c r="F155" t="inlineStr">
        <is>
          <t>VÄRMLANDS LÄN</t>
        </is>
      </c>
      <c r="G155" t="inlineStr">
        <is>
          <t>GRUMS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46276</v>
      </c>
      <c r="F156" t="inlineStr">
        <is>
          <t>VÄRMLANDS LÄN</t>
        </is>
      </c>
      <c r="G156" t="inlineStr">
        <is>
          <t>GRUMS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46276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46276</v>
      </c>
      <c r="F158" t="inlineStr">
        <is>
          <t>VÄRMLANDS LÄN</t>
        </is>
      </c>
      <c r="G158" t="inlineStr">
        <is>
          <t>GRUMS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46276</v>
      </c>
      <c r="F159" t="inlineStr">
        <is>
          <t>VÄRMLANDS LÄN</t>
        </is>
      </c>
      <c r="G159" t="inlineStr">
        <is>
          <t>GRUMS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46276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59391-2025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45989</v>
      </c>
      <c r="E161" s="1" t="n">
        <v>46276</v>
      </c>
      <c r="F161" t="inlineStr">
        <is>
          <t>VÄRMLANDS LÄN</t>
        </is>
      </c>
      <c r="G161" t="inlineStr">
        <is>
          <t>GRUMS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46276</v>
      </c>
      <c r="F162" t="inlineStr">
        <is>
          <t>VÄRMLANDS LÄN</t>
        </is>
      </c>
      <c r="G162" t="inlineStr">
        <is>
          <t>GRUMS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46276</v>
      </c>
      <c r="F163" t="inlineStr">
        <is>
          <t>VÄRMLANDS LÄN</t>
        </is>
      </c>
      <c r="G163" t="inlineStr">
        <is>
          <t>GRUMS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31930-2024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45510</v>
      </c>
      <c r="E164" s="1" t="n">
        <v>46276</v>
      </c>
      <c r="F164" t="inlineStr">
        <is>
          <t>VÄRMLANDS LÄN</t>
        </is>
      </c>
      <c r="G164" t="inlineStr">
        <is>
          <t>GRUMS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46276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46276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45343</v>
      </c>
      <c r="E167" s="1" t="n">
        <v>46276</v>
      </c>
      <c r="F167" t="inlineStr">
        <is>
          <t>VÄRMLANDS LÄN</t>
        </is>
      </c>
      <c r="G167" t="inlineStr">
        <is>
          <t>GRUMS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46276</v>
      </c>
      <c r="F168" t="inlineStr">
        <is>
          <t>VÄRMLANDS LÄN</t>
        </is>
      </c>
      <c r="G168" t="inlineStr">
        <is>
          <t>GRUMS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45011</v>
      </c>
      <c r="E169" s="1" t="n">
        <v>46276</v>
      </c>
      <c r="F169" t="inlineStr">
        <is>
          <t>VÄRMLANDS LÄN</t>
        </is>
      </c>
      <c r="G169" t="inlineStr">
        <is>
          <t>GRUMS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46276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46276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46276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46276</v>
      </c>
      <c r="F173" t="inlineStr">
        <is>
          <t>VÄRMLANDS LÄN</t>
        </is>
      </c>
      <c r="G173" t="inlineStr">
        <is>
          <t>GRUMS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46276</v>
      </c>
      <c r="F174" t="inlineStr">
        <is>
          <t>VÄRMLANDS LÄN</t>
        </is>
      </c>
      <c r="G174" t="inlineStr">
        <is>
          <t>GRUMS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46276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46276</v>
      </c>
      <c r="F176" t="inlineStr">
        <is>
          <t>VÄRMLANDS LÄN</t>
        </is>
      </c>
      <c r="G176" t="inlineStr">
        <is>
          <t>GRUMS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46276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46276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46276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46276</v>
      </c>
      <c r="F180" t="inlineStr">
        <is>
          <t>VÄRMLANDS LÄN</t>
        </is>
      </c>
      <c r="G180" t="inlineStr">
        <is>
          <t>GRUMS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45776</v>
      </c>
      <c r="E181" s="1" t="n">
        <v>46276</v>
      </c>
      <c r="F181" t="inlineStr">
        <is>
          <t>VÄRMLANDS LÄN</t>
        </is>
      </c>
      <c r="G181" t="inlineStr">
        <is>
          <t>GRUMS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45896</v>
      </c>
      <c r="E182" s="1" t="n">
        <v>46276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46276</v>
      </c>
      <c r="F183" t="inlineStr">
        <is>
          <t>VÄRMLANDS LÄN</t>
        </is>
      </c>
      <c r="G183" t="inlineStr">
        <is>
          <t>GRUMS</t>
        </is>
      </c>
      <c r="I183" t="n">
        <v>12.4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46276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44627</v>
      </c>
      <c r="E185" s="1" t="n">
        <v>46276</v>
      </c>
      <c r="F185" t="inlineStr">
        <is>
          <t>VÄRMLANDS LÄN</t>
        </is>
      </c>
      <c r="G185" t="inlineStr">
        <is>
          <t>GRUMS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44753</v>
      </c>
      <c r="E186" s="1" t="n">
        <v>46276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46276</v>
      </c>
      <c r="F187" t="inlineStr">
        <is>
          <t>VÄRMLANDS LÄN</t>
        </is>
      </c>
      <c r="G187" t="inlineStr">
        <is>
          <t>GRUMS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45691</v>
      </c>
      <c r="E188" s="1" t="n">
        <v>46276</v>
      </c>
      <c r="F188" t="inlineStr">
        <is>
          <t>VÄRMLANDS LÄN</t>
        </is>
      </c>
      <c r="G188" t="inlineStr">
        <is>
          <t>GRUMS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46276</v>
      </c>
      <c r="F189" t="inlineStr">
        <is>
          <t>VÄRMLANDS LÄN</t>
        </is>
      </c>
      <c r="G189" t="inlineStr">
        <is>
          <t>GRUMS</t>
        </is>
      </c>
      <c r="I189" t="n">
        <v>13.8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46276</v>
      </c>
      <c r="F190" t="inlineStr">
        <is>
          <t>VÄRMLANDS LÄN</t>
        </is>
      </c>
      <c r="G190" t="inlineStr">
        <is>
          <t>GRUMS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46276</v>
      </c>
      <c r="F191" t="inlineStr">
        <is>
          <t>VÄRMLANDS LÄN</t>
        </is>
      </c>
      <c r="G191" t="inlineStr">
        <is>
          <t>GRUMS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46276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46276</v>
      </c>
      <c r="F193" t="inlineStr">
        <is>
          <t>VÄRMLANDS LÄN</t>
        </is>
      </c>
      <c r="G193" t="inlineStr">
        <is>
          <t>GRUMS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46276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46276</v>
      </c>
      <c r="F195" t="inlineStr">
        <is>
          <t>VÄRMLANDS LÄN</t>
        </is>
      </c>
      <c r="G195" t="inlineStr">
        <is>
          <t>GRUMS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46276</v>
      </c>
      <c r="F196" t="inlineStr">
        <is>
          <t>VÄRMLANDS LÄN</t>
        </is>
      </c>
      <c r="G196" t="inlineStr">
        <is>
          <t>GRUMS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45391</v>
      </c>
      <c r="E197" s="1" t="n">
        <v>46276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29724-2023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45107</v>
      </c>
      <c r="E198" s="1" t="n">
        <v>46276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46276</v>
      </c>
      <c r="F199" t="inlineStr">
        <is>
          <t>VÄRMLANDS LÄN</t>
        </is>
      </c>
      <c r="G199" t="inlineStr">
        <is>
          <t>GRUMS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71903-2021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44543</v>
      </c>
      <c r="E200" s="1" t="n">
        <v>46276</v>
      </c>
      <c r="F200" t="inlineStr">
        <is>
          <t>VÄRMLANDS LÄN</t>
        </is>
      </c>
      <c r="G200" t="inlineStr">
        <is>
          <t>GRUMS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45432</v>
      </c>
      <c r="E201" s="1" t="n">
        <v>46276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45681</v>
      </c>
      <c r="E202" s="1" t="n">
        <v>46276</v>
      </c>
      <c r="F202" t="inlineStr">
        <is>
          <t>VÄRMLANDS LÄN</t>
        </is>
      </c>
      <c r="G202" t="inlineStr">
        <is>
          <t>GRUMS</t>
        </is>
      </c>
      <c r="H202" t="inlineStr">
        <is>
          <t>BillerudKorsnäs AB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46276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46276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46276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46276</v>
      </c>
      <c r="F206" t="inlineStr">
        <is>
          <t>VÄRMLANDS LÄN</t>
        </is>
      </c>
      <c r="G206" t="inlineStr">
        <is>
          <t>GRUMS</t>
        </is>
      </c>
      <c r="H206" t="inlineStr">
        <is>
          <t>Kommuner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46164</v>
      </c>
      <c r="E207" s="1" t="n">
        <v>46276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46276</v>
      </c>
      <c r="F208" t="inlineStr">
        <is>
          <t>VÄRMLANDS LÄN</t>
        </is>
      </c>
      <c r="G208" t="inlineStr">
        <is>
          <t>GRUMS</t>
        </is>
      </c>
      <c r="H208" t="inlineStr">
        <is>
          <t>Kommuner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44608</v>
      </c>
      <c r="E209" s="1" t="n">
        <v>46276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46276</v>
      </c>
      <c r="F210" t="inlineStr">
        <is>
          <t>VÄRMLANDS LÄN</t>
        </is>
      </c>
      <c r="G210" t="inlineStr">
        <is>
          <t>GRUMS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46276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46276</v>
      </c>
      <c r="F212" t="inlineStr">
        <is>
          <t>VÄRMLANDS LÄN</t>
        </is>
      </c>
      <c r="G212" t="inlineStr">
        <is>
          <t>GRUMS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45124</v>
      </c>
      <c r="E213" s="1" t="n">
        <v>46276</v>
      </c>
      <c r="F213" t="inlineStr">
        <is>
          <t>VÄRMLANDS LÄN</t>
        </is>
      </c>
      <c r="G213" t="inlineStr">
        <is>
          <t>GRUMS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46276</v>
      </c>
      <c r="F214" t="inlineStr">
        <is>
          <t>VÄRMLANDS LÄN</t>
        </is>
      </c>
      <c r="G214" t="inlineStr">
        <is>
          <t>GRUMS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46276</v>
      </c>
      <c r="F215" t="inlineStr">
        <is>
          <t>VÄRMLANDS LÄN</t>
        </is>
      </c>
      <c r="G215" t="inlineStr">
        <is>
          <t>GRUMS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45461</v>
      </c>
      <c r="E216" s="1" t="n">
        <v>46276</v>
      </c>
      <c r="F216" t="inlineStr">
        <is>
          <t>VÄRMLANDS LÄN</t>
        </is>
      </c>
      <c r="G216" t="inlineStr">
        <is>
          <t>GRUMS</t>
        </is>
      </c>
      <c r="I216" t="n">
        <v>12.8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46276</v>
      </c>
      <c r="F217" t="inlineStr">
        <is>
          <t>VÄRMLANDS LÄN</t>
        </is>
      </c>
      <c r="G217" t="inlineStr">
        <is>
          <t>GRUMS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45377</v>
      </c>
      <c r="E218" s="1" t="n">
        <v>46276</v>
      </c>
      <c r="F218" t="inlineStr">
        <is>
          <t>VÄRMLANDS LÄN</t>
        </is>
      </c>
      <c r="G218" t="inlineStr">
        <is>
          <t>GRUMS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45377</v>
      </c>
      <c r="E219" s="1" t="n">
        <v>46276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46276</v>
      </c>
      <c r="F220" t="inlineStr">
        <is>
          <t>VÄRMLANDS LÄN</t>
        </is>
      </c>
      <c r="G220" t="inlineStr">
        <is>
          <t>GRUMS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64304-2023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45280</v>
      </c>
      <c r="E221" s="1" t="n">
        <v>46276</v>
      </c>
      <c r="F221" t="inlineStr">
        <is>
          <t>VÄRMLANDS LÄN</t>
        </is>
      </c>
      <c r="G221" t="inlineStr">
        <is>
          <t>GRUMS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45208</v>
      </c>
      <c r="E222" s="1" t="n">
        <v>46276</v>
      </c>
      <c r="F222" t="inlineStr">
        <is>
          <t>VÄRMLANDS LÄN</t>
        </is>
      </c>
      <c r="G222" t="inlineStr">
        <is>
          <t>GRUMS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46276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16772-2024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45411</v>
      </c>
      <c r="E224" s="1" t="n">
        <v>46276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45089</v>
      </c>
      <c r="E225" s="1" t="n">
        <v>46276</v>
      </c>
      <c r="F225" t="inlineStr">
        <is>
          <t>VÄRMLANDS LÄN</t>
        </is>
      </c>
      <c r="G225" t="inlineStr">
        <is>
          <t>GRUMS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26015-2026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46181</v>
      </c>
      <c r="E226" s="1" t="n">
        <v>46276</v>
      </c>
      <c r="F226" t="inlineStr">
        <is>
          <t>VÄRMLANDS LÄN</t>
        </is>
      </c>
      <c r="G226" t="inlineStr">
        <is>
          <t>GRUMS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66056-2021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46276</v>
      </c>
      <c r="F227" t="inlineStr">
        <is>
          <t>VÄRMLANDS LÄN</t>
        </is>
      </c>
      <c r="G227" t="inlineStr">
        <is>
          <t>GRUMS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46276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7991-2024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45350</v>
      </c>
      <c r="E229" s="1" t="n">
        <v>46276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44907</v>
      </c>
      <c r="E230" s="1" t="n">
        <v>46276</v>
      </c>
      <c r="F230" t="inlineStr">
        <is>
          <t>VÄRMLANDS LÄN</t>
        </is>
      </c>
      <c r="G230" t="inlineStr">
        <is>
          <t>GRUMS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52848-2021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46276</v>
      </c>
      <c r="F231" t="inlineStr">
        <is>
          <t>VÄRMLANDS LÄN</t>
        </is>
      </c>
      <c r="G231" t="inlineStr">
        <is>
          <t>GRUMS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45708</v>
      </c>
      <c r="E232" s="1" t="n">
        <v>46276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44547</v>
      </c>
      <c r="E233" s="1" t="n">
        <v>46276</v>
      </c>
      <c r="F233" t="inlineStr">
        <is>
          <t>VÄRMLANDS LÄN</t>
        </is>
      </c>
      <c r="G233" t="inlineStr">
        <is>
          <t>GRUMS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46197</v>
      </c>
      <c r="E234" s="1" t="n">
        <v>46276</v>
      </c>
      <c r="F234" t="inlineStr">
        <is>
          <t>VÄRMLANDS LÄN</t>
        </is>
      </c>
      <c r="G234" t="inlineStr">
        <is>
          <t>GRUMS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44628</v>
      </c>
      <c r="E235" s="1" t="n">
        <v>46276</v>
      </c>
      <c r="F235" t="inlineStr">
        <is>
          <t>VÄRMLANDS LÄN</t>
        </is>
      </c>
      <c r="G235" t="inlineStr">
        <is>
          <t>GRUMS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46276</v>
      </c>
      <c r="F236" t="inlineStr">
        <is>
          <t>VÄRMLANDS LÄN</t>
        </is>
      </c>
      <c r="G236" t="inlineStr">
        <is>
          <t>GRUMS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46276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46276</v>
      </c>
      <c r="F238" t="inlineStr">
        <is>
          <t>VÄRMLANDS LÄN</t>
        </is>
      </c>
      <c r="G238" t="inlineStr">
        <is>
          <t>GRUMS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45708</v>
      </c>
      <c r="E239" s="1" t="n">
        <v>46276</v>
      </c>
      <c r="F239" t="inlineStr">
        <is>
          <t>VÄRMLANDS LÄN</t>
        </is>
      </c>
      <c r="G239" t="inlineStr">
        <is>
          <t>GRUMS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29191-2026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46276</v>
      </c>
      <c r="F240" t="inlineStr">
        <is>
          <t>VÄRMLANDS LÄN</t>
        </is>
      </c>
      <c r="G240" t="inlineStr">
        <is>
          <t>GRUMS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46276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46276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45512</v>
      </c>
      <c r="E243" s="1" t="n">
        <v>46276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46244</v>
      </c>
      <c r="E244" s="1" t="n">
        <v>46276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46276</v>
      </c>
      <c r="F245" t="inlineStr">
        <is>
          <t>VÄRMLANDS LÄN</t>
        </is>
      </c>
      <c r="G245" t="inlineStr">
        <is>
          <t>GRUMS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46276</v>
      </c>
      <c r="F246" t="inlineStr">
        <is>
          <t>VÄRMLANDS LÄN</t>
        </is>
      </c>
      <c r="G246" t="inlineStr">
        <is>
          <t>GRUMS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46276</v>
      </c>
      <c r="F247" t="inlineStr">
        <is>
          <t>VÄRMLANDS LÄN</t>
        </is>
      </c>
      <c r="G247" t="inlineStr">
        <is>
          <t>GRUMS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44784</v>
      </c>
      <c r="E248" s="1" t="n">
        <v>46276</v>
      </c>
      <c r="F248" t="inlineStr">
        <is>
          <t>VÄRMLANDS LÄN</t>
        </is>
      </c>
      <c r="G248" t="inlineStr">
        <is>
          <t>GRUMS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46276</v>
      </c>
      <c r="F249" t="inlineStr">
        <is>
          <t>VÄRMLANDS LÄN</t>
        </is>
      </c>
      <c r="G249" t="inlineStr">
        <is>
          <t>GRUMS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46276</v>
      </c>
      <c r="F250" t="inlineStr">
        <is>
          <t>VÄRMLANDS LÄN</t>
        </is>
      </c>
      <c r="G250" t="inlineStr">
        <is>
          <t>GRUMS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46276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46276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46276</v>
      </c>
      <c r="F253" t="inlineStr">
        <is>
          <t>VÄRMLANDS LÄN</t>
        </is>
      </c>
      <c r="G253" t="inlineStr">
        <is>
          <t>GRUMS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46276</v>
      </c>
      <c r="F254" t="inlineStr">
        <is>
          <t>VÄRMLANDS LÄN</t>
        </is>
      </c>
      <c r="G254" t="inlineStr">
        <is>
          <t>GRUMS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63919-2021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44509</v>
      </c>
      <c r="E255" s="1" t="n">
        <v>46276</v>
      </c>
      <c r="F255" t="inlineStr">
        <is>
          <t>VÄRMLANDS LÄN</t>
        </is>
      </c>
      <c r="G255" t="inlineStr">
        <is>
          <t>GRUMS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45329</v>
      </c>
      <c r="E256" s="1" t="n">
        <v>46276</v>
      </c>
      <c r="F256" t="inlineStr">
        <is>
          <t>VÄRMLANDS LÄN</t>
        </is>
      </c>
      <c r="G256" t="inlineStr">
        <is>
          <t>GRUMS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46276</v>
      </c>
      <c r="F257" t="inlineStr">
        <is>
          <t>VÄRMLANDS LÄN</t>
        </is>
      </c>
      <c r="G257" t="inlineStr">
        <is>
          <t>GRUMS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46214</v>
      </c>
      <c r="E258" s="1" t="n">
        <v>46276</v>
      </c>
      <c r="F258" t="inlineStr">
        <is>
          <t>VÄRMLANDS LÄN</t>
        </is>
      </c>
      <c r="G258" t="inlineStr">
        <is>
          <t>GRUMS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46276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46276</v>
      </c>
      <c r="F260" t="inlineStr">
        <is>
          <t>VÄRMLANDS LÄN</t>
        </is>
      </c>
      <c r="G260" t="inlineStr">
        <is>
          <t>GRUMS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46276</v>
      </c>
      <c r="F261" t="inlineStr">
        <is>
          <t>VÄRMLANDS LÄN</t>
        </is>
      </c>
      <c r="G261" t="inlineStr">
        <is>
          <t>GRUMS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45377</v>
      </c>
      <c r="E262" s="1" t="n">
        <v>46276</v>
      </c>
      <c r="F262" t="inlineStr">
        <is>
          <t>VÄRMLANDS LÄN</t>
        </is>
      </c>
      <c r="G262" t="inlineStr">
        <is>
          <t>GRUMS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45484</v>
      </c>
      <c r="E263" s="1" t="n">
        <v>46276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46276</v>
      </c>
      <c r="F264" t="inlineStr">
        <is>
          <t>VÄRMLANDS LÄN</t>
        </is>
      </c>
      <c r="G264" t="inlineStr">
        <is>
          <t>GRUMS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46276</v>
      </c>
      <c r="F265" t="inlineStr">
        <is>
          <t>VÄRMLANDS LÄN</t>
        </is>
      </c>
      <c r="G265" t="inlineStr">
        <is>
          <t>GRUMS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46224</v>
      </c>
      <c r="E266" s="1" t="n">
        <v>46276</v>
      </c>
      <c r="F266" t="inlineStr">
        <is>
          <t>VÄRMLANDS LÄN</t>
        </is>
      </c>
      <c r="G266" t="inlineStr">
        <is>
          <t>GRUMS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46276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46276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46274</v>
      </c>
      <c r="E269" s="1" t="n">
        <v>46276</v>
      </c>
      <c r="F269" t="inlineStr">
        <is>
          <t>VÄRMLANDS LÄN</t>
        </is>
      </c>
      <c r="G269" t="inlineStr">
        <is>
          <t>GRUMS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46274</v>
      </c>
      <c r="E270" s="1" t="n">
        <v>46276</v>
      </c>
      <c r="F270" t="inlineStr">
        <is>
          <t>VÄRMLANDS LÄN</t>
        </is>
      </c>
      <c r="G270" t="inlineStr">
        <is>
          <t>GRUMS</t>
        </is>
      </c>
      <c r="I270" t="n">
        <v>13.9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46276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46276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46276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46276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46276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2026-09-11T02:10:56Z</dcterms:created>
  <dcterms:modified xmlns:dcterms="http://purl.org/dc/terms/" xmlns:xsi="http://www.w3.org/2001/XMLSchema-instance" xsi:type="dcterms:W3CDTF">2026-09-11T02:10:56Z</dcterms:modified>
</cp:coreProperties>
</file>