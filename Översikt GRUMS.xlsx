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46280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46280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46280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46280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46280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46280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34099-2026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46252</v>
      </c>
      <c r="E8" s="1" t="n">
        <v>46280</v>
      </c>
      <c r="F8" t="inlineStr">
        <is>
          <t>VÄRMLANDS LÄN</t>
        </is>
      </c>
      <c r="G8" t="inlineStr">
        <is>
          <t>GRUMS</t>
        </is>
      </c>
      <c r="I8" t="n">
        <v>1.7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0</v>
      </c>
      <c r="V8" s="2" t="inlineStr">
        <is>
          <t>Dofttaggsvamp
Björksplintborre
Revlummer</t>
        </is>
      </c>
      <c r="W8">
        <f>HYPERLINK("https://klasma.github.io/Logging_1764/artfynd/A 34099-2026 artfynd.xlsx", "A 34099-2026")</f>
        <v/>
      </c>
      <c r="X8">
        <f>HYPERLINK("https://klasma.github.io/Logging_1764/kartor/A 34099-2026 karta.png", "A 34099-2026")</f>
        <v/>
      </c>
      <c r="Y8">
        <f>HYPERLINK("https://klasma.github.io/Logging_1764/kartor_geotiff/A 34099-2026 georefererad karta.tif", "A 34099-2026")</f>
        <v/>
      </c>
      <c r="AA8">
        <f>HYPERLINK("https://klasma.github.io/Logging_1764/klagomål/A 34099-2026 FSC-klagomål.docx", "A 34099-2026")</f>
        <v/>
      </c>
      <c r="AB8">
        <f>HYPERLINK("https://klasma.github.io/Logging_1764/klagomålsmail/A 34099-2026 FSC-klagomål mail.docx", "A 34099-2026")</f>
        <v/>
      </c>
      <c r="AC8">
        <f>HYPERLINK("https://klasma.github.io/Logging_1764/tillsyn/A 34099-2026 tillsynsbegäran.docx", "A 34099-2026")</f>
        <v/>
      </c>
      <c r="AD8">
        <f>HYPERLINK("https://klasma.github.io/Logging_1764/tillsynsmail/A 34099-2026 tillsynsbegäran mail.docx", "A 34099-2026")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46280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46280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46280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46280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46280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46280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46280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46280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46280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46280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46280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46280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46280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46280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46280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46280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46280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46280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46280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46280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46280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46280</v>
      </c>
      <c r="F30" t="inlineStr">
        <is>
          <t>VÄRMLANDS LÄN</t>
        </is>
      </c>
      <c r="G30" t="inlineStr">
        <is>
          <t>GRUMS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12296-2026 artfynd.xlsx", "A 12296-2026")</f>
        <v/>
      </c>
      <c r="X30">
        <f>HYPERLINK("https://klasma.github.io/Logging_1764/kartor/A 12296-2026 karta.png", "A 12296-2026")</f>
        <v/>
      </c>
      <c r="Y30">
        <f>HYPERLINK("https://klasma.github.io/Logging_1764/kartor_geotiff/A 12296-2026 georefererad karta.tif", "A 12296-2026")</f>
        <v/>
      </c>
      <c r="AA30">
        <f>HYPERLINK("https://klasma.github.io/Logging_1764/klagomål/A 12296-2026 FSC-klagomål.docx", "A 12296-2026")</f>
        <v/>
      </c>
      <c r="AB30">
        <f>HYPERLINK("https://klasma.github.io/Logging_1764/klagomålsmail/A 12296-2026 FSC-klagomål mail.docx", "A 12296-2026")</f>
        <v/>
      </c>
      <c r="AC30">
        <f>HYPERLINK("https://klasma.github.io/Logging_1764/tillsyn/A 12296-2026 tillsynsbegäran.docx", "A 12296-2026")</f>
        <v/>
      </c>
      <c r="AD30">
        <f>HYPERLINK("https://klasma.github.io/Logging_1764/tillsynsmail/A 12296-2026 tillsynsbegäran mail.docx", "A 12296-2026")</f>
        <v/>
      </c>
    </row>
    <row r="31" ht="15" customHeight="1">
      <c r="A31" t="inlineStr">
        <is>
          <t>A 30411-2025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46280</v>
      </c>
      <c r="F31" t="inlineStr">
        <is>
          <t>VÄRMLANDS LÄN</t>
        </is>
      </c>
      <c r="G31" t="inlineStr">
        <is>
          <t>GRUMS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HYPERLINK("https://klasma.github.io/Logging_1764/artfynd/A 30411-2025 artfynd.xlsx", "A 30411-2025")</f>
        <v/>
      </c>
      <c r="X31">
        <f>HYPERLINK("https://klasma.github.io/Logging_1764/kartor/A 30411-2025 karta.png", "A 30411-2025")</f>
        <v/>
      </c>
      <c r="Y31">
        <f>HYPERLINK("https://klasma.github.io/Logging_1764/kartor_geotiff/A 30411-2025 georefererad karta.tif", "A 30411-2025")</f>
        <v/>
      </c>
      <c r="AA31">
        <f>HYPERLINK("https://klasma.github.io/Logging_1764/klagomål/A 30411-2025 FSC-klagomål.docx", "A 30411-2025")</f>
        <v/>
      </c>
      <c r="AB31">
        <f>HYPERLINK("https://klasma.github.io/Logging_1764/klagomålsmail/A 30411-2025 FSC-klagomål mail.docx", "A 30411-2025")</f>
        <v/>
      </c>
      <c r="AC31">
        <f>HYPERLINK("https://klasma.github.io/Logging_1764/tillsyn/A 30411-2025 tillsynsbegäran.docx", "A 30411-2025")</f>
        <v/>
      </c>
      <c r="AD31">
        <f>HYPERLINK("https://klasma.github.io/Logging_1764/tillsynsmail/A 30411-2025 tillsynsbegäran mail.docx", "A 30411-2025")</f>
        <v/>
      </c>
    </row>
    <row r="32" ht="15" customHeight="1">
      <c r="A32" t="inlineStr">
        <is>
          <t>A 10647-2024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45368</v>
      </c>
      <c r="E32" s="1" t="n">
        <v>46280</v>
      </c>
      <c r="F32" t="inlineStr">
        <is>
          <t>VÄRMLANDS LÄN</t>
        </is>
      </c>
      <c r="G32" t="inlineStr">
        <is>
          <t>GRUMS</t>
        </is>
      </c>
      <c r="I32" t="n">
        <v>4.1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Kråka</t>
        </is>
      </c>
      <c r="W32">
        <f>HYPERLINK("https://klasma.github.io/Logging_1764/artfynd/A 10647-2024 artfynd.xlsx", "A 10647-2024")</f>
        <v/>
      </c>
      <c r="X32">
        <f>HYPERLINK("https://klasma.github.io/Logging_1764/kartor/A 10647-2024 karta.png", "A 10647-2024")</f>
        <v/>
      </c>
      <c r="Y32">
        <f>HYPERLINK("https://klasma.github.io/Logging_1764/kartor_geotiff/A 10647-2024 georefererad karta.tif", "A 10647-2024")</f>
        <v/>
      </c>
      <c r="AA32">
        <f>HYPERLINK("https://klasma.github.io/Logging_1764/klagomål/A 10647-2024 FSC-klagomål.docx", "A 10647-2024")</f>
        <v/>
      </c>
      <c r="AB32">
        <f>HYPERLINK("https://klasma.github.io/Logging_1764/klagomålsmail/A 10647-2024 FSC-klagomål mail.docx", "A 10647-2024")</f>
        <v/>
      </c>
      <c r="AC32">
        <f>HYPERLINK("https://klasma.github.io/Logging_1764/tillsyn/A 10647-2024 tillsynsbegäran.docx", "A 10647-2024")</f>
        <v/>
      </c>
      <c r="AD32">
        <f>HYPERLINK("https://klasma.github.io/Logging_1764/tillsynsmail/A 10647-2024 tillsynsbegäran mail.docx", "A 10647-2024")</f>
        <v/>
      </c>
    </row>
    <row r="33" ht="15" customHeight="1">
      <c r="A33" t="inlineStr">
        <is>
          <t>A 62675-2023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46280</v>
      </c>
      <c r="F33" t="inlineStr">
        <is>
          <t>VÄRMLANDS LÄN</t>
        </is>
      </c>
      <c r="G33" t="inlineStr">
        <is>
          <t>GRUMS</t>
        </is>
      </c>
      <c r="I33" t="n">
        <v>3.4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 trolldruva</t>
        </is>
      </c>
      <c r="W33">
        <f>HYPERLINK("https://klasma.github.io/Logging_1764/artfynd/A 62675-2023 artfynd.xlsx", "A 62675-2023")</f>
        <v/>
      </c>
      <c r="X33">
        <f>HYPERLINK("https://klasma.github.io/Logging_1764/kartor/A 62675-2023 karta.png", "A 62675-2023")</f>
        <v/>
      </c>
      <c r="Y33">
        <f>HYPERLINK("https://klasma.github.io/Logging_1764/kartor_geotiff/A 62675-2023 georefererad karta.tif", "A 62675-2023")</f>
        <v/>
      </c>
      <c r="AA33">
        <f>HYPERLINK("https://klasma.github.io/Logging_1764/klagomål/A 62675-2023 FSC-klagomål.docx", "A 62675-2023")</f>
        <v/>
      </c>
      <c r="AB33">
        <f>HYPERLINK("https://klasma.github.io/Logging_1764/klagomålsmail/A 62675-2023 FSC-klagomål mail.docx", "A 62675-2023")</f>
        <v/>
      </c>
      <c r="AC33">
        <f>HYPERLINK("https://klasma.github.io/Logging_1764/tillsyn/A 62675-2023 tillsynsbegäran.docx", "A 62675-2023")</f>
        <v/>
      </c>
      <c r="AD33">
        <f>HYPERLINK("https://klasma.github.io/Logging_1764/tillsynsmail/A 62675-2023 tillsynsbegäran mail.docx", "A 62675-2023")</f>
        <v/>
      </c>
    </row>
    <row r="34" ht="15" customHeight="1">
      <c r="A34" t="inlineStr">
        <is>
          <t>A 34076-2026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46280</v>
      </c>
      <c r="F34" t="inlineStr">
        <is>
          <t>VÄRMLANDS LÄN</t>
        </is>
      </c>
      <c r="G34" t="inlineStr">
        <is>
          <t>GRUMS</t>
        </is>
      </c>
      <c r="I34" t="n">
        <v>4.9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Skogsklocka</t>
        </is>
      </c>
      <c r="W34">
        <f>HYPERLINK("https://klasma.github.io/Logging_1764/artfynd/A 34076-2026 artfynd.xlsx", "A 34076-2026")</f>
        <v/>
      </c>
      <c r="X34">
        <f>HYPERLINK("https://klasma.github.io/Logging_1764/kartor/A 34076-2026 karta.png", "A 34076-2026")</f>
        <v/>
      </c>
      <c r="Y34">
        <f>HYPERLINK("https://klasma.github.io/Logging_1764/kartor_geotiff/A 34076-2026 georefererad karta.tif", "A 34076-2026")</f>
        <v/>
      </c>
      <c r="AA34">
        <f>HYPERLINK("https://klasma.github.io/Logging_1764/klagomål/A 34076-2026 FSC-klagomål.docx", "A 34076-2026")</f>
        <v/>
      </c>
      <c r="AB34">
        <f>HYPERLINK("https://klasma.github.io/Logging_1764/klagomålsmail/A 34076-2026 FSC-klagomål mail.docx", "A 34076-2026")</f>
        <v/>
      </c>
      <c r="AC34">
        <f>HYPERLINK("https://klasma.github.io/Logging_1764/tillsyn/A 34076-2026 tillsynsbegäran.docx", "A 34076-2026")</f>
        <v/>
      </c>
      <c r="AD34">
        <f>HYPERLINK("https://klasma.github.io/Logging_1764/tillsynsmail/A 34076-2026 tillsynsbegäran mail.docx", "A 34076-2026")</f>
        <v/>
      </c>
    </row>
    <row r="35" ht="15" customHeight="1">
      <c r="A35" t="inlineStr">
        <is>
          <t>A 19052-2024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45427</v>
      </c>
      <c r="E35" s="1" t="n">
        <v>46280</v>
      </c>
      <c r="F35" t="inlineStr">
        <is>
          <t>VÄRMLANDS LÄN</t>
        </is>
      </c>
      <c r="G35" t="inlineStr">
        <is>
          <t>GRUMS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HYPERLINK("https://klasma.github.io/Logging_1764/artfynd/A 19052-2024 artfynd.xlsx", "A 19052-2024")</f>
        <v/>
      </c>
      <c r="X35">
        <f>HYPERLINK("https://klasma.github.io/Logging_1764/kartor/A 19052-2024 karta.png", "A 19052-2024")</f>
        <v/>
      </c>
      <c r="Y35">
        <f>HYPERLINK("https://klasma.github.io/Logging_1764/kartor_geotiff/A 19052-2024 georefererad karta.tif", "A 19052-2024")</f>
        <v/>
      </c>
      <c r="AA35">
        <f>HYPERLINK("https://klasma.github.io/Logging_1764/klagomål/A 19052-2024 FSC-klagomål.docx", "A 19052-2024")</f>
        <v/>
      </c>
      <c r="AB35">
        <f>HYPERLINK("https://klasma.github.io/Logging_1764/klagomålsmail/A 19052-2024 FSC-klagomål mail.docx", "A 19052-2024")</f>
        <v/>
      </c>
      <c r="AC35">
        <f>HYPERLINK("https://klasma.github.io/Logging_1764/tillsyn/A 19052-2024 tillsynsbegäran.docx", "A 19052-2024")</f>
        <v/>
      </c>
      <c r="AD35">
        <f>HYPERLINK("https://klasma.github.io/Logging_1764/tillsynsmail/A 19052-2024 tillsynsbegäran mail.docx", "A 19052-2024")</f>
        <v/>
      </c>
    </row>
    <row r="36" ht="15" customHeight="1">
      <c r="A36" t="inlineStr">
        <is>
          <t>A 37339-2022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44806</v>
      </c>
      <c r="E36" s="1" t="n">
        <v>46280</v>
      </c>
      <c r="F36" t="inlineStr">
        <is>
          <t>VÄRMLANDS LÄN</t>
        </is>
      </c>
      <c r="G36" t="inlineStr">
        <is>
          <t>GRUMS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37339-2022 artfynd.xlsx", "A 37339-2022")</f>
        <v/>
      </c>
      <c r="X36">
        <f>HYPERLINK("https://klasma.github.io/Logging_1764/kartor/A 37339-2022 karta.png", "A 37339-2022")</f>
        <v/>
      </c>
      <c r="Y36">
        <f>HYPERLINK("https://klasma.github.io/Logging_1764/kartor_geotiff/A 37339-2022 georefererad karta.tif", "A 37339-2022")</f>
        <v/>
      </c>
      <c r="AA36">
        <f>HYPERLINK("https://klasma.github.io/Logging_1764/klagomål/A 37339-2022 FSC-klagomål.docx", "A 37339-2022")</f>
        <v/>
      </c>
      <c r="AB36">
        <f>HYPERLINK("https://klasma.github.io/Logging_1764/klagomålsmail/A 37339-2022 FSC-klagomål mail.docx", "A 37339-2022")</f>
        <v/>
      </c>
      <c r="AC36">
        <f>HYPERLINK("https://klasma.github.io/Logging_1764/tillsyn/A 37339-2022 tillsynsbegäran.docx", "A 37339-2022")</f>
        <v/>
      </c>
      <c r="AD36">
        <f>HYPERLINK("https://klasma.github.io/Logging_1764/tillsynsmail/A 37339-2022 tillsynsbegäran mail.docx", "A 37339-2022")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46280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17122-2024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45412</v>
      </c>
      <c r="E38" s="1" t="n">
        <v>46280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17122-2024 artfynd.xlsx", "A 17122-2024")</f>
        <v/>
      </c>
      <c r="X38">
        <f>HYPERLINK("https://klasma.github.io/Logging_1764/kartor/A 17122-2024 karta.png", "A 17122-2024")</f>
        <v/>
      </c>
      <c r="Y38">
        <f>HYPERLINK("https://klasma.github.io/Logging_1764/kartor_geotiff/A 17122-2024 georefererad karta.tif", "A 17122-2024")</f>
        <v/>
      </c>
      <c r="AA38">
        <f>HYPERLINK("https://klasma.github.io/Logging_1764/klagomål/A 17122-2024 FSC-klagomål.docx", "A 17122-2024")</f>
        <v/>
      </c>
      <c r="AB38">
        <f>HYPERLINK("https://klasma.github.io/Logging_1764/klagomålsmail/A 17122-2024 FSC-klagomål mail.docx", "A 17122-2024")</f>
        <v/>
      </c>
      <c r="AC38">
        <f>HYPERLINK("https://klasma.github.io/Logging_1764/tillsyn/A 17122-2024 tillsynsbegäran.docx", "A 17122-2024")</f>
        <v/>
      </c>
      <c r="AD38">
        <f>HYPERLINK("https://klasma.github.io/Logging_1764/tillsynsmail/A 17122-2024 tillsynsbegäran mail.docx", "A 17122-2024")</f>
        <v/>
      </c>
    </row>
    <row r="39" ht="15" customHeight="1">
      <c r="A39" t="inlineStr">
        <is>
          <t>A 41878-2024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46280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15.9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Göktyta</t>
        </is>
      </c>
      <c r="W39">
        <f>HYPERLINK("https://klasma.github.io/Logging_1764/artfynd/A 41878-2024 artfynd.xlsx", "A 41878-2024")</f>
        <v/>
      </c>
      <c r="X39">
        <f>HYPERLINK("https://klasma.github.io/Logging_1764/kartor/A 41878-2024 karta.png", "A 41878-2024")</f>
        <v/>
      </c>
      <c r="Y39">
        <f>HYPERLINK("https://klasma.github.io/Logging_1764/kartor_geotiff/A 41878-2024 georefererad karta.tif", "A 41878-2024")</f>
        <v/>
      </c>
      <c r="AA39">
        <f>HYPERLINK("https://klasma.github.io/Logging_1764/klagomål/A 41878-2024 FSC-klagomål.docx", "A 41878-2024")</f>
        <v/>
      </c>
      <c r="AB39">
        <f>HYPERLINK("https://klasma.github.io/Logging_1764/klagomålsmail/A 41878-2024 FSC-klagomål mail.docx", "A 41878-2024")</f>
        <v/>
      </c>
      <c r="AC39">
        <f>HYPERLINK("https://klasma.github.io/Logging_1764/tillsyn/A 41878-2024 tillsynsbegäran.docx", "A 41878-2024")</f>
        <v/>
      </c>
      <c r="AD39">
        <f>HYPERLINK("https://klasma.github.io/Logging_1764/tillsynsmail/A 41878-2024 tillsynsbegäran mail.docx", "A 41878-2024")</f>
        <v/>
      </c>
      <c r="AE39">
        <f>HYPERLINK("https://klasma.github.io/Logging_1764/fåglar/A 41878-2024 prioriterade fågelarter.docx", "A 41878-2024")</f>
        <v/>
      </c>
    </row>
    <row r="40" ht="15" customHeight="1">
      <c r="A40" t="inlineStr">
        <is>
          <t>A 35077-2024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46280</v>
      </c>
      <c r="F40" t="inlineStr">
        <is>
          <t>VÄRMLANDS LÄN</t>
        </is>
      </c>
      <c r="G40" t="inlineStr">
        <is>
          <t>GRUMS</t>
        </is>
      </c>
      <c r="I40" t="n">
        <v>2.1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HYPERLINK("https://klasma.github.io/Logging_1764/artfynd/A 35077-2024 artfynd.xlsx", "A 35077-2024")</f>
        <v/>
      </c>
      <c r="X40">
        <f>HYPERLINK("https://klasma.github.io/Logging_1764/kartor/A 35077-2024 karta.png", "A 35077-2024")</f>
        <v/>
      </c>
      <c r="Y40">
        <f>HYPERLINK("https://klasma.github.io/Logging_1764/kartor_geotiff/A 35077-2024 georefererad karta.tif", "A 35077-2024")</f>
        <v/>
      </c>
      <c r="Z40">
        <f>HYPERLINK("https://klasma.github.io/Logging_1764/knärot/A 35077-2024 karta knärot.png", "A 35077-2024")</f>
        <v/>
      </c>
      <c r="AA40">
        <f>HYPERLINK("https://klasma.github.io/Logging_1764/klagomål/A 35077-2024 FSC-klagomål.docx", "A 35077-2024")</f>
        <v/>
      </c>
      <c r="AB40">
        <f>HYPERLINK("https://klasma.github.io/Logging_1764/klagomålsmail/A 35077-2024 FSC-klagomål mail.docx", "A 35077-2024")</f>
        <v/>
      </c>
      <c r="AC40">
        <f>HYPERLINK("https://klasma.github.io/Logging_1764/tillsyn/A 35077-2024 tillsynsbegäran.docx", "A 35077-2024")</f>
        <v/>
      </c>
      <c r="AD40">
        <f>HYPERLINK("https://klasma.github.io/Logging_1764/tillsynsmail/A 35077-2024 tillsynsbegäran mail.docx", "A 35077-2024")</f>
        <v/>
      </c>
    </row>
    <row r="41" ht="15" customHeight="1">
      <c r="A41" t="inlineStr">
        <is>
          <t>A 19524-2024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46280</v>
      </c>
      <c r="F41" t="inlineStr">
        <is>
          <t>VÄRMLANDS LÄN</t>
        </is>
      </c>
      <c r="G41" t="inlineStr">
        <is>
          <t>GRUMS</t>
        </is>
      </c>
      <c r="I41" t="n">
        <v>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HYPERLINK("https://klasma.github.io/Logging_1764/artfynd/A 19524-2024 artfynd.xlsx", "A 19524-2024")</f>
        <v/>
      </c>
      <c r="X41">
        <f>HYPERLINK("https://klasma.github.io/Logging_1764/kartor/A 19524-2024 karta.png", "A 19524-2024")</f>
        <v/>
      </c>
      <c r="Y41">
        <f>HYPERLINK("https://klasma.github.io/Logging_1764/kartor_geotiff/A 19524-2024 georefererad karta.tif", "A 19524-2024")</f>
        <v/>
      </c>
      <c r="AA41">
        <f>HYPERLINK("https://klasma.github.io/Logging_1764/klagomål/A 19524-2024 FSC-klagomål.docx", "A 19524-2024")</f>
        <v/>
      </c>
      <c r="AB41">
        <f>HYPERLINK("https://klasma.github.io/Logging_1764/klagomålsmail/A 19524-2024 FSC-klagomål mail.docx", "A 19524-2024")</f>
        <v/>
      </c>
      <c r="AC41">
        <f>HYPERLINK("https://klasma.github.io/Logging_1764/tillsyn/A 19524-2024 tillsynsbegäran.docx", "A 19524-2024")</f>
        <v/>
      </c>
      <c r="AD41">
        <f>HYPERLINK("https://klasma.github.io/Logging_1764/tillsynsmail/A 19524-2024 tillsynsbegäran mail.docx", "A 19524-2024")</f>
        <v/>
      </c>
      <c r="AE41">
        <f>HYPERLINK("https://klasma.github.io/Logging_1764/fåglar/A 19524-2024 prioriterade fågelarter.docx", "A 19524-2024")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46280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46280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46280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46280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46280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46280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46280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46280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46280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46280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46280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46280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46280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46280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46280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46280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46280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46280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46280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46280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46280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46280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46280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46280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46280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46280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46280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46280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46280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46280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46280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46280</v>
      </c>
      <c r="F73" t="inlineStr">
        <is>
          <t>VÄRMLANDS LÄN</t>
        </is>
      </c>
      <c r="G73" t="inlineStr">
        <is>
          <t>GRUMS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46280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46280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46280</v>
      </c>
      <c r="F76" t="inlineStr">
        <is>
          <t>VÄRMLANDS LÄN</t>
        </is>
      </c>
      <c r="G76" t="inlineStr">
        <is>
          <t>GRUMS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46280</v>
      </c>
      <c r="F77" t="inlineStr">
        <is>
          <t>VÄRMLANDS LÄN</t>
        </is>
      </c>
      <c r="G77" t="inlineStr">
        <is>
          <t>GRUMS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46280</v>
      </c>
      <c r="F78" t="inlineStr">
        <is>
          <t>VÄRMLANDS LÄN</t>
        </is>
      </c>
      <c r="G78" t="inlineStr">
        <is>
          <t>GRUMS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46280</v>
      </c>
      <c r="F79" t="inlineStr">
        <is>
          <t>VÄRMLANDS LÄN</t>
        </is>
      </c>
      <c r="G79" t="inlineStr">
        <is>
          <t>GRUMS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46280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46280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46280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46280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46280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46280</v>
      </c>
      <c r="F85" t="inlineStr">
        <is>
          <t>VÄRMLANDS LÄN</t>
        </is>
      </c>
      <c r="G85" t="inlineStr">
        <is>
          <t>GRUMS</t>
        </is>
      </c>
      <c r="I85" t="n">
        <v>18.2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46280</v>
      </c>
      <c r="F86" t="inlineStr">
        <is>
          <t>VÄRMLANDS LÄN</t>
        </is>
      </c>
      <c r="G86" t="inlineStr">
        <is>
          <t>GRUMS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46280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46280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46280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53209-2021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46280</v>
      </c>
      <c r="F90" t="inlineStr">
        <is>
          <t>VÄRMLANDS LÄN</t>
        </is>
      </c>
      <c r="G90" t="inlineStr">
        <is>
          <t>GRUMS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46280</v>
      </c>
      <c r="F91" t="inlineStr">
        <is>
          <t>VÄRMLANDS LÄN</t>
        </is>
      </c>
      <c r="G91" t="inlineStr">
        <is>
          <t>GRUMS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46280</v>
      </c>
      <c r="F92" t="inlineStr">
        <is>
          <t>VÄRMLANDS LÄN</t>
        </is>
      </c>
      <c r="G92" t="inlineStr">
        <is>
          <t>GRUMS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46280</v>
      </c>
      <c r="F93" t="inlineStr">
        <is>
          <t>VÄRMLANDS LÄN</t>
        </is>
      </c>
      <c r="G93" t="inlineStr">
        <is>
          <t>GRUMS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46280</v>
      </c>
      <c r="F94" t="inlineStr">
        <is>
          <t>VÄRMLANDS LÄN</t>
        </is>
      </c>
      <c r="G94" t="inlineStr">
        <is>
          <t>GRUMS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46280</v>
      </c>
      <c r="F95" t="inlineStr">
        <is>
          <t>VÄRMLANDS LÄN</t>
        </is>
      </c>
      <c r="G95" t="inlineStr">
        <is>
          <t>GRUMS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59391-2025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45989</v>
      </c>
      <c r="E96" s="1" t="n">
        <v>46280</v>
      </c>
      <c r="F96" t="inlineStr">
        <is>
          <t>VÄRMLANDS LÄN</t>
        </is>
      </c>
      <c r="G96" t="inlineStr">
        <is>
          <t>GRUMS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46280</v>
      </c>
      <c r="F97" t="inlineStr">
        <is>
          <t>VÄRMLANDS LÄN</t>
        </is>
      </c>
      <c r="G97" t="inlineStr">
        <is>
          <t>GRUMS</t>
        </is>
      </c>
      <c r="H97" t="inlineStr">
        <is>
          <t>Bergvik skog väst AB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45096</v>
      </c>
      <c r="E98" s="1" t="n">
        <v>46280</v>
      </c>
      <c r="F98" t="inlineStr">
        <is>
          <t>VÄRMLANDS LÄN</t>
        </is>
      </c>
      <c r="G98" t="inlineStr">
        <is>
          <t>GRUMS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44861</v>
      </c>
      <c r="E99" s="1" t="n">
        <v>46280</v>
      </c>
      <c r="F99" t="inlineStr">
        <is>
          <t>VÄRMLANDS LÄN</t>
        </is>
      </c>
      <c r="G99" t="inlineStr">
        <is>
          <t>GRUMS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45152</v>
      </c>
      <c r="E100" s="1" t="n">
        <v>46280</v>
      </c>
      <c r="F100" t="inlineStr">
        <is>
          <t>VÄRMLANDS LÄN</t>
        </is>
      </c>
      <c r="G100" t="inlineStr">
        <is>
          <t>GRUMS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5957-2024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45336</v>
      </c>
      <c r="E101" s="1" t="n">
        <v>46280</v>
      </c>
      <c r="F101" t="inlineStr">
        <is>
          <t>VÄRMLANDS LÄN</t>
        </is>
      </c>
      <c r="G101" t="inlineStr">
        <is>
          <t>GRUMS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46280</v>
      </c>
      <c r="F102" t="inlineStr">
        <is>
          <t>VÄRMLANDS LÄN</t>
        </is>
      </c>
      <c r="G102" t="inlineStr">
        <is>
          <t>GRUMS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46039</v>
      </c>
      <c r="E103" s="1" t="n">
        <v>46280</v>
      </c>
      <c r="F103" t="inlineStr">
        <is>
          <t>VÄRMLANDS LÄN</t>
        </is>
      </c>
      <c r="G103" t="inlineStr">
        <is>
          <t>GRUMS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46280</v>
      </c>
      <c r="F104" t="inlineStr">
        <is>
          <t>VÄRMLANDS LÄN</t>
        </is>
      </c>
      <c r="G104" t="inlineStr">
        <is>
          <t>GRUMS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20238-2024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46280</v>
      </c>
      <c r="F105" t="inlineStr">
        <is>
          <t>VÄRMLANDS LÄN</t>
        </is>
      </c>
      <c r="G105" t="inlineStr">
        <is>
          <t>GRUMS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46280</v>
      </c>
      <c r="F106" t="inlineStr">
        <is>
          <t>VÄRMLANDS LÄN</t>
        </is>
      </c>
      <c r="G106" t="inlineStr">
        <is>
          <t>GRUMS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45240</v>
      </c>
      <c r="E107" s="1" t="n">
        <v>46280</v>
      </c>
      <c r="F107" t="inlineStr">
        <is>
          <t>VÄRMLANDS LÄN</t>
        </is>
      </c>
      <c r="G107" t="inlineStr">
        <is>
          <t>GRUMS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45300</v>
      </c>
      <c r="E108" s="1" t="n">
        <v>46280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44760</v>
      </c>
      <c r="E109" s="1" t="n">
        <v>46280</v>
      </c>
      <c r="F109" t="inlineStr">
        <is>
          <t>VÄRMLANDS LÄN</t>
        </is>
      </c>
      <c r="G109" t="inlineStr">
        <is>
          <t>GRUMS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46280</v>
      </c>
      <c r="F110" t="inlineStr">
        <is>
          <t>VÄRMLANDS LÄN</t>
        </is>
      </c>
      <c r="G110" t="inlineStr">
        <is>
          <t>GRUMS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45836</v>
      </c>
      <c r="E111" s="1" t="n">
        <v>46280</v>
      </c>
      <c r="F111" t="inlineStr">
        <is>
          <t>VÄRMLANDS LÄN</t>
        </is>
      </c>
      <c r="G111" t="inlineStr">
        <is>
          <t>GRUMS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45708</v>
      </c>
      <c r="E112" s="1" t="n">
        <v>46280</v>
      </c>
      <c r="F112" t="inlineStr">
        <is>
          <t>VÄRMLANDS LÄN</t>
        </is>
      </c>
      <c r="G112" t="inlineStr">
        <is>
          <t>GRUMS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46280</v>
      </c>
      <c r="F113" t="inlineStr">
        <is>
          <t>VÄRMLANDS LÄN</t>
        </is>
      </c>
      <c r="G113" t="inlineStr">
        <is>
          <t>GRUMS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62557-2022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44924</v>
      </c>
      <c r="E114" s="1" t="n">
        <v>46280</v>
      </c>
      <c r="F114" t="inlineStr">
        <is>
          <t>VÄRMLANDS LÄN</t>
        </is>
      </c>
      <c r="G114" t="inlineStr">
        <is>
          <t>GRUMS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46280</v>
      </c>
      <c r="F115" t="inlineStr">
        <is>
          <t>VÄRMLANDS LÄN</t>
        </is>
      </c>
      <c r="G115" t="inlineStr">
        <is>
          <t>GRUMS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46280</v>
      </c>
      <c r="F116" t="inlineStr">
        <is>
          <t>VÄRMLANDS LÄN</t>
        </is>
      </c>
      <c r="G116" t="inlineStr">
        <is>
          <t>GRUMS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46066</v>
      </c>
      <c r="E117" s="1" t="n">
        <v>46280</v>
      </c>
      <c r="F117" t="inlineStr">
        <is>
          <t>VÄRMLANDS LÄN</t>
        </is>
      </c>
      <c r="G117" t="inlineStr">
        <is>
          <t>GRUMS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45441</v>
      </c>
      <c r="E118" s="1" t="n">
        <v>46280</v>
      </c>
      <c r="F118" t="inlineStr">
        <is>
          <t>VÄRMLANDS LÄN</t>
        </is>
      </c>
      <c r="G118" t="inlineStr">
        <is>
          <t>GRUMS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45939</v>
      </c>
      <c r="E119" s="1" t="n">
        <v>46280</v>
      </c>
      <c r="F119" t="inlineStr">
        <is>
          <t>VÄRMLANDS LÄN</t>
        </is>
      </c>
      <c r="G119" t="inlineStr">
        <is>
          <t>GRUMS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46280</v>
      </c>
      <c r="F120" t="inlineStr">
        <is>
          <t>VÄRMLANDS LÄN</t>
        </is>
      </c>
      <c r="G120" t="inlineStr">
        <is>
          <t>GRUMS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46280</v>
      </c>
      <c r="F121" t="inlineStr">
        <is>
          <t>VÄRMLANDS LÄN</t>
        </is>
      </c>
      <c r="G121" t="inlineStr">
        <is>
          <t>GRUMS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45877</v>
      </c>
      <c r="E122" s="1" t="n">
        <v>46280</v>
      </c>
      <c r="F122" t="inlineStr">
        <is>
          <t>VÄRMLANDS LÄN</t>
        </is>
      </c>
      <c r="G122" t="inlineStr">
        <is>
          <t>GRUMS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46280</v>
      </c>
      <c r="F123" t="inlineStr">
        <is>
          <t>VÄRMLANDS LÄN</t>
        </is>
      </c>
      <c r="G123" t="inlineStr">
        <is>
          <t>GRUMS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53138-2023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45229</v>
      </c>
      <c r="E124" s="1" t="n">
        <v>46280</v>
      </c>
      <c r="F124" t="inlineStr">
        <is>
          <t>VÄRMLANDS LÄN</t>
        </is>
      </c>
      <c r="G124" t="inlineStr">
        <is>
          <t>GRUMS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19566-2023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46280</v>
      </c>
      <c r="F125" t="inlineStr">
        <is>
          <t>VÄRMLANDS LÄN</t>
        </is>
      </c>
      <c r="G125" t="inlineStr">
        <is>
          <t>GRUMS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46280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46280</v>
      </c>
      <c r="F127" t="inlineStr">
        <is>
          <t>VÄRMLANDS LÄN</t>
        </is>
      </c>
      <c r="G127" t="inlineStr">
        <is>
          <t>GRUMS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51509-2025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45950</v>
      </c>
      <c r="E128" s="1" t="n">
        <v>46280</v>
      </c>
      <c r="F128" t="inlineStr">
        <is>
          <t>VÄRMLANDS LÄN</t>
        </is>
      </c>
      <c r="G128" t="inlineStr">
        <is>
          <t>GRUMS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45708</v>
      </c>
      <c r="E129" s="1" t="n">
        <v>46280</v>
      </c>
      <c r="F129" t="inlineStr">
        <is>
          <t>VÄRMLANDS LÄN</t>
        </is>
      </c>
      <c r="G129" t="inlineStr">
        <is>
          <t>GRUMS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45272</v>
      </c>
      <c r="E130" s="1" t="n">
        <v>46280</v>
      </c>
      <c r="F130" t="inlineStr">
        <is>
          <t>VÄRMLANDS LÄN</t>
        </is>
      </c>
      <c r="G130" t="inlineStr">
        <is>
          <t>GRUMS</t>
        </is>
      </c>
      <c r="I130" t="n">
        <v>13.8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69847-2021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46280</v>
      </c>
      <c r="F131" t="inlineStr">
        <is>
          <t>VÄRMLANDS LÄN</t>
        </is>
      </c>
      <c r="G131" t="inlineStr">
        <is>
          <t>GRUMS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45635</v>
      </c>
      <c r="E132" s="1" t="n">
        <v>46280</v>
      </c>
      <c r="F132" t="inlineStr">
        <is>
          <t>VÄRMLANDS LÄN</t>
        </is>
      </c>
      <c r="G132" t="inlineStr">
        <is>
          <t>GRUMS</t>
        </is>
      </c>
      <c r="H132" t="inlineStr">
        <is>
          <t>Bergvik skog väst AB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22347-2023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45070</v>
      </c>
      <c r="E133" s="1" t="n">
        <v>46280</v>
      </c>
      <c r="F133" t="inlineStr">
        <is>
          <t>VÄRMLANDS LÄN</t>
        </is>
      </c>
      <c r="G133" t="inlineStr">
        <is>
          <t>GRUMS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14688-2026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46101</v>
      </c>
      <c r="E134" s="1" t="n">
        <v>46280</v>
      </c>
      <c r="F134" t="inlineStr">
        <is>
          <t>VÄRMLANDS LÄN</t>
        </is>
      </c>
      <c r="G134" t="inlineStr">
        <is>
          <t>GRUMS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45956</v>
      </c>
      <c r="E135" s="1" t="n">
        <v>46280</v>
      </c>
      <c r="F135" t="inlineStr">
        <is>
          <t>VÄRMLANDS LÄN</t>
        </is>
      </c>
      <c r="G135" t="inlineStr">
        <is>
          <t>GRUMS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52700-2025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45956</v>
      </c>
      <c r="E136" s="1" t="n">
        <v>46280</v>
      </c>
      <c r="F136" t="inlineStr">
        <is>
          <t>VÄRMLANDS LÄN</t>
        </is>
      </c>
      <c r="G136" t="inlineStr">
        <is>
          <t>GRUMS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15549-2026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46280</v>
      </c>
      <c r="F137" t="inlineStr">
        <is>
          <t>VÄRMLANDS LÄN</t>
        </is>
      </c>
      <c r="G137" t="inlineStr">
        <is>
          <t>GRUMS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46280</v>
      </c>
      <c r="F138" t="inlineStr">
        <is>
          <t>VÄRMLANDS LÄN</t>
        </is>
      </c>
      <c r="G138" t="inlineStr">
        <is>
          <t>GRUMS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46132</v>
      </c>
      <c r="E139" s="1" t="n">
        <v>46280</v>
      </c>
      <c r="F139" t="inlineStr">
        <is>
          <t>VÄRMLANDS LÄN</t>
        </is>
      </c>
      <c r="G139" t="inlineStr">
        <is>
          <t>GRUMS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46280</v>
      </c>
      <c r="F140" t="inlineStr">
        <is>
          <t>VÄRMLANDS LÄN</t>
        </is>
      </c>
      <c r="G140" t="inlineStr">
        <is>
          <t>GRUMS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33081-2022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46280</v>
      </c>
      <c r="F141" t="inlineStr">
        <is>
          <t>VÄRMLANDS LÄN</t>
        </is>
      </c>
      <c r="G141" t="inlineStr">
        <is>
          <t>GRUMS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46280</v>
      </c>
      <c r="F142" t="inlineStr">
        <is>
          <t>VÄRMLANDS LÄN</t>
        </is>
      </c>
      <c r="G142" t="inlineStr">
        <is>
          <t>GRUMS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25840-2024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45467</v>
      </c>
      <c r="E143" s="1" t="n">
        <v>46280</v>
      </c>
      <c r="F143" t="inlineStr">
        <is>
          <t>VÄRMLANDS LÄN</t>
        </is>
      </c>
      <c r="G143" t="inlineStr">
        <is>
          <t>GRUMS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46024</v>
      </c>
      <c r="E144" s="1" t="n">
        <v>46280</v>
      </c>
      <c r="F144" t="inlineStr">
        <is>
          <t>VÄRMLANDS LÄN</t>
        </is>
      </c>
      <c r="G144" t="inlineStr">
        <is>
          <t>GRUMS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46280</v>
      </c>
      <c r="F145" t="inlineStr">
        <is>
          <t>VÄRMLANDS LÄN</t>
        </is>
      </c>
      <c r="G145" t="inlineStr">
        <is>
          <t>GRUMS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42143-2025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46280</v>
      </c>
      <c r="F146" t="inlineStr">
        <is>
          <t>VÄRMLANDS LÄN</t>
        </is>
      </c>
      <c r="G146" t="inlineStr">
        <is>
          <t>GRUMS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46280</v>
      </c>
      <c r="F147" t="inlineStr">
        <is>
          <t>VÄRMLANDS LÄN</t>
        </is>
      </c>
      <c r="G147" t="inlineStr">
        <is>
          <t>GRUMS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37676-2023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45159</v>
      </c>
      <c r="E148" s="1" t="n">
        <v>46280</v>
      </c>
      <c r="F148" t="inlineStr">
        <is>
          <t>VÄRMLANDS LÄN</t>
        </is>
      </c>
      <c r="G148" t="inlineStr">
        <is>
          <t>GRUMS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46280</v>
      </c>
      <c r="F149" t="inlineStr">
        <is>
          <t>VÄRMLANDS LÄN</t>
        </is>
      </c>
      <c r="G149" t="inlineStr">
        <is>
          <t>GRUMS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45776</v>
      </c>
      <c r="E150" s="1" t="n">
        <v>46280</v>
      </c>
      <c r="F150" t="inlineStr">
        <is>
          <t>VÄRMLANDS LÄN</t>
        </is>
      </c>
      <c r="G150" t="inlineStr">
        <is>
          <t>GRUMS</t>
        </is>
      </c>
      <c r="I150" t="n">
        <v>9.5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45217</v>
      </c>
      <c r="E151" s="1" t="n">
        <v>46280</v>
      </c>
      <c r="F151" t="inlineStr">
        <is>
          <t>VÄRMLANDS LÄN</t>
        </is>
      </c>
      <c r="G151" t="inlineStr">
        <is>
          <t>GRUMS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34580-2022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44795</v>
      </c>
      <c r="E152" s="1" t="n">
        <v>46280</v>
      </c>
      <c r="F152" t="inlineStr">
        <is>
          <t>VÄRMLANDS LÄN</t>
        </is>
      </c>
      <c r="G152" t="inlineStr">
        <is>
          <t>GRUMS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12000-2022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44635</v>
      </c>
      <c r="E153" s="1" t="n">
        <v>46280</v>
      </c>
      <c r="F153" t="inlineStr">
        <is>
          <t>VÄRMLANDS LÄN</t>
        </is>
      </c>
      <c r="G153" t="inlineStr">
        <is>
          <t>GRUMS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42557-2022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44831</v>
      </c>
      <c r="E154" s="1" t="n">
        <v>46280</v>
      </c>
      <c r="F154" t="inlineStr">
        <is>
          <t>VÄRMLANDS LÄN</t>
        </is>
      </c>
      <c r="G154" t="inlineStr">
        <is>
          <t>GRUMS</t>
        </is>
      </c>
      <c r="I154" t="n">
        <v>13.7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60656-2025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45996</v>
      </c>
      <c r="E155" s="1" t="n">
        <v>46280</v>
      </c>
      <c r="F155" t="inlineStr">
        <is>
          <t>VÄRMLANDS LÄN</t>
        </is>
      </c>
      <c r="G155" t="inlineStr">
        <is>
          <t>GRUMS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44797</v>
      </c>
      <c r="E156" s="1" t="n">
        <v>46280</v>
      </c>
      <c r="F156" t="inlineStr">
        <is>
          <t>VÄRMLANDS LÄN</t>
        </is>
      </c>
      <c r="G156" t="inlineStr">
        <is>
          <t>GRUMS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46280</v>
      </c>
      <c r="F157" t="inlineStr">
        <is>
          <t>VÄRMLANDS LÄN</t>
        </is>
      </c>
      <c r="G157" t="inlineStr">
        <is>
          <t>GRUMS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21248-2022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46280</v>
      </c>
      <c r="F158" t="inlineStr">
        <is>
          <t>VÄRMLANDS LÄN</t>
        </is>
      </c>
      <c r="G158" t="inlineStr">
        <is>
          <t>GRUMS</t>
        </is>
      </c>
      <c r="I158" t="n">
        <v>12.4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46280</v>
      </c>
      <c r="F159" t="inlineStr">
        <is>
          <t>VÄRMLANDS LÄN</t>
        </is>
      </c>
      <c r="G159" t="inlineStr">
        <is>
          <t>GRUMS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46280</v>
      </c>
      <c r="F160" t="inlineStr">
        <is>
          <t>VÄRMLANDS LÄN</t>
        </is>
      </c>
      <c r="G160" t="inlineStr">
        <is>
          <t>GRUMS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46280</v>
      </c>
      <c r="F161" t="inlineStr">
        <is>
          <t>VÄRMLANDS LÄN</t>
        </is>
      </c>
      <c r="G161" t="inlineStr">
        <is>
          <t>GRUMS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31362-2024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45505</v>
      </c>
      <c r="E162" s="1" t="n">
        <v>46280</v>
      </c>
      <c r="F162" t="inlineStr">
        <is>
          <t>VÄRMLANDS LÄN</t>
        </is>
      </c>
      <c r="G162" t="inlineStr">
        <is>
          <t>GRUMS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45691</v>
      </c>
      <c r="E163" s="1" t="n">
        <v>46280</v>
      </c>
      <c r="F163" t="inlineStr">
        <is>
          <t>VÄRMLANDS LÄN</t>
        </is>
      </c>
      <c r="G163" t="inlineStr">
        <is>
          <t>GRUMS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31561-2023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46280</v>
      </c>
      <c r="F164" t="inlineStr">
        <is>
          <t>VÄRMLANDS LÄN</t>
        </is>
      </c>
      <c r="G164" t="inlineStr">
        <is>
          <t>GRUMS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45316</v>
      </c>
      <c r="E165" s="1" t="n">
        <v>46280</v>
      </c>
      <c r="F165" t="inlineStr">
        <is>
          <t>VÄRMLANDS LÄN</t>
        </is>
      </c>
      <c r="G165" t="inlineStr">
        <is>
          <t>GRUMS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45412</v>
      </c>
      <c r="E166" s="1" t="n">
        <v>46280</v>
      </c>
      <c r="F166" t="inlineStr">
        <is>
          <t>VÄRMLANDS LÄN</t>
        </is>
      </c>
      <c r="G166" t="inlineStr">
        <is>
          <t>GRUMS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45350</v>
      </c>
      <c r="E167" s="1" t="n">
        <v>46280</v>
      </c>
      <c r="F167" t="inlineStr">
        <is>
          <t>VÄRMLANDS LÄN</t>
        </is>
      </c>
      <c r="G167" t="inlineStr">
        <is>
          <t>GRUMS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46280</v>
      </c>
      <c r="F168" t="inlineStr">
        <is>
          <t>VÄRMLANDS LÄN</t>
        </is>
      </c>
      <c r="G168" t="inlineStr">
        <is>
          <t>GRUMS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45329</v>
      </c>
      <c r="E169" s="1" t="n">
        <v>46280</v>
      </c>
      <c r="F169" t="inlineStr">
        <is>
          <t>VÄRMLANDS LÄN</t>
        </is>
      </c>
      <c r="G169" t="inlineStr">
        <is>
          <t>GRUMS</t>
        </is>
      </c>
      <c r="I169" t="n">
        <v>22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46280</v>
      </c>
      <c r="F170" t="inlineStr">
        <is>
          <t>VÄRMLANDS LÄN</t>
        </is>
      </c>
      <c r="G170" t="inlineStr">
        <is>
          <t>GRUMS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45358</v>
      </c>
      <c r="E171" s="1" t="n">
        <v>46280</v>
      </c>
      <c r="F171" t="inlineStr">
        <is>
          <t>VÄRMLANDS LÄN</t>
        </is>
      </c>
      <c r="G171" t="inlineStr">
        <is>
          <t>GRUMS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46280</v>
      </c>
      <c r="F172" t="inlineStr">
        <is>
          <t>VÄRMLANDS LÄN</t>
        </is>
      </c>
      <c r="G172" t="inlineStr">
        <is>
          <t>GRUMS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62682-2023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46280</v>
      </c>
      <c r="F173" t="inlineStr">
        <is>
          <t>VÄRMLANDS LÄN</t>
        </is>
      </c>
      <c r="G173" t="inlineStr">
        <is>
          <t>GRUMS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71903-2021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46280</v>
      </c>
      <c r="F174" t="inlineStr">
        <is>
          <t>VÄRMLANDS LÄN</t>
        </is>
      </c>
      <c r="G174" t="inlineStr">
        <is>
          <t>GRUMS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45681</v>
      </c>
      <c r="E175" s="1" t="n">
        <v>46280</v>
      </c>
      <c r="F175" t="inlineStr">
        <is>
          <t>VÄRMLANDS LÄN</t>
        </is>
      </c>
      <c r="G175" t="inlineStr">
        <is>
          <t>GRUMS</t>
        </is>
      </c>
      <c r="H175" t="inlineStr">
        <is>
          <t>BillerudKorsnäs AB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46280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46164</v>
      </c>
      <c r="E177" s="1" t="n">
        <v>46280</v>
      </c>
      <c r="F177" t="inlineStr">
        <is>
          <t>VÄRMLANDS LÄN</t>
        </is>
      </c>
      <c r="G177" t="inlineStr">
        <is>
          <t>GRUMS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46167</v>
      </c>
      <c r="E178" s="1" t="n">
        <v>46280</v>
      </c>
      <c r="F178" t="inlineStr">
        <is>
          <t>VÄRMLANDS LÄN</t>
        </is>
      </c>
      <c r="G178" t="inlineStr">
        <is>
          <t>GRUMS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46164</v>
      </c>
      <c r="E179" s="1" t="n">
        <v>46280</v>
      </c>
      <c r="F179" t="inlineStr">
        <is>
          <t>VÄRMLANDS LÄN</t>
        </is>
      </c>
      <c r="G179" t="inlineStr">
        <is>
          <t>GRUMS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46164</v>
      </c>
      <c r="E180" s="1" t="n">
        <v>46280</v>
      </c>
      <c r="F180" t="inlineStr">
        <is>
          <t>VÄRMLANDS LÄN</t>
        </is>
      </c>
      <c r="G180" t="inlineStr">
        <is>
          <t>GRUMS</t>
        </is>
      </c>
      <c r="H180" t="inlineStr">
        <is>
          <t>Kommuner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24754-2026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46171</v>
      </c>
      <c r="E181" s="1" t="n">
        <v>46280</v>
      </c>
      <c r="F181" t="inlineStr">
        <is>
          <t>VÄRMLANDS LÄN</t>
        </is>
      </c>
      <c r="G181" t="inlineStr">
        <is>
          <t>GRUMS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26015-2026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46181</v>
      </c>
      <c r="E182" s="1" t="n">
        <v>46280</v>
      </c>
      <c r="F182" t="inlineStr">
        <is>
          <t>VÄRMLANDS LÄN</t>
        </is>
      </c>
      <c r="G182" t="inlineStr">
        <is>
          <t>GRUMS</t>
        </is>
      </c>
      <c r="H182" t="inlineStr">
        <is>
          <t>Kommuner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45329</v>
      </c>
      <c r="E183" s="1" t="n">
        <v>46280</v>
      </c>
      <c r="F183" t="inlineStr">
        <is>
          <t>VÄRMLANDS LÄN</t>
        </is>
      </c>
      <c r="G183" t="inlineStr">
        <is>
          <t>GRUMS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62947-2023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45272</v>
      </c>
      <c r="E184" s="1" t="n">
        <v>46280</v>
      </c>
      <c r="F184" t="inlineStr">
        <is>
          <t>VÄRMLANDS LÄN</t>
        </is>
      </c>
      <c r="G184" t="inlineStr">
        <is>
          <t>GRUMS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31930-2024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45510</v>
      </c>
      <c r="E185" s="1" t="n">
        <v>46280</v>
      </c>
      <c r="F185" t="inlineStr">
        <is>
          <t>VÄRMLANDS LÄN</t>
        </is>
      </c>
      <c r="G185" t="inlineStr">
        <is>
          <t>GRUMS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46280</v>
      </c>
      <c r="F186" t="inlineStr">
        <is>
          <t>VÄRMLANDS LÄN</t>
        </is>
      </c>
      <c r="G186" t="inlineStr">
        <is>
          <t>GRUMS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44628</v>
      </c>
      <c r="E187" s="1" t="n">
        <v>46280</v>
      </c>
      <c r="F187" t="inlineStr">
        <is>
          <t>VÄRMLANDS LÄN</t>
        </is>
      </c>
      <c r="G187" t="inlineStr">
        <is>
          <t>GRUMS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29205-2026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46202</v>
      </c>
      <c r="E188" s="1" t="n">
        <v>46280</v>
      </c>
      <c r="F188" t="inlineStr">
        <is>
          <t>VÄRMLANDS LÄN</t>
        </is>
      </c>
      <c r="G188" t="inlineStr">
        <is>
          <t>GRUMS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71706-2021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44543</v>
      </c>
      <c r="E189" s="1" t="n">
        <v>46280</v>
      </c>
      <c r="F189" t="inlineStr">
        <is>
          <t>VÄRMLANDS LÄN</t>
        </is>
      </c>
      <c r="G189" t="inlineStr">
        <is>
          <t>GRUMS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46202</v>
      </c>
      <c r="E190" s="1" t="n">
        <v>46280</v>
      </c>
      <c r="F190" t="inlineStr">
        <is>
          <t>VÄRMLANDS LÄN</t>
        </is>
      </c>
      <c r="G190" t="inlineStr">
        <is>
          <t>GRUMS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40935-2022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44823</v>
      </c>
      <c r="E191" s="1" t="n">
        <v>46280</v>
      </c>
      <c r="F191" t="inlineStr">
        <is>
          <t>VÄRMLANDS LÄN</t>
        </is>
      </c>
      <c r="G191" t="inlineStr">
        <is>
          <t>GRUMS</t>
        </is>
      </c>
      <c r="H191" t="inlineStr">
        <is>
          <t>Bergvik skog väst AB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29191-2026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46280</v>
      </c>
      <c r="F192" t="inlineStr">
        <is>
          <t>VÄRMLANDS LÄN</t>
        </is>
      </c>
      <c r="G192" t="inlineStr">
        <is>
          <t>GRUMS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45512</v>
      </c>
      <c r="E193" s="1" t="n">
        <v>46280</v>
      </c>
      <c r="F193" t="inlineStr">
        <is>
          <t>VÄRMLANDS LÄN</t>
        </is>
      </c>
      <c r="G193" t="inlineStr">
        <is>
          <t>GRUMS</t>
        </is>
      </c>
      <c r="H193" t="inlineStr">
        <is>
          <t>Bergvik skog väst AB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46244</v>
      </c>
      <c r="E194" s="1" t="n">
        <v>46280</v>
      </c>
      <c r="F194" t="inlineStr">
        <is>
          <t>VÄRMLANDS LÄN</t>
        </is>
      </c>
      <c r="G194" t="inlineStr">
        <is>
          <t>GRUMS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6938-2024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45343</v>
      </c>
      <c r="E195" s="1" t="n">
        <v>46280</v>
      </c>
      <c r="F195" t="inlineStr">
        <is>
          <t>VÄRMLANDS LÄN</t>
        </is>
      </c>
      <c r="G195" t="inlineStr">
        <is>
          <t>GRUMS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34538-2026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46255</v>
      </c>
      <c r="E196" s="1" t="n">
        <v>46280</v>
      </c>
      <c r="F196" t="inlineStr">
        <is>
          <t>VÄRMLANDS LÄN</t>
        </is>
      </c>
      <c r="G196" t="inlineStr">
        <is>
          <t>GRUMS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31034-2026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46214</v>
      </c>
      <c r="E197" s="1" t="n">
        <v>46280</v>
      </c>
      <c r="F197" t="inlineStr">
        <is>
          <t>VÄRMLANDS LÄN</t>
        </is>
      </c>
      <c r="G197" t="inlineStr">
        <is>
          <t>GRUMS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45011</v>
      </c>
      <c r="E198" s="1" t="n">
        <v>46280</v>
      </c>
      <c r="F198" t="inlineStr">
        <is>
          <t>VÄRMLANDS LÄN</t>
        </is>
      </c>
      <c r="G198" t="inlineStr">
        <is>
          <t>GRUMS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17972-2025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46280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45096</v>
      </c>
      <c r="E200" s="1" t="n">
        <v>46280</v>
      </c>
      <c r="F200" t="inlineStr">
        <is>
          <t>VÄRMLANDS LÄN</t>
        </is>
      </c>
      <c r="G200" t="inlineStr">
        <is>
          <t>GRUMS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45153</v>
      </c>
      <c r="E201" s="1" t="n">
        <v>46280</v>
      </c>
      <c r="F201" t="inlineStr">
        <is>
          <t>VÄRMLANDS LÄN</t>
        </is>
      </c>
      <c r="G201" t="inlineStr">
        <is>
          <t>GRUMS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46224</v>
      </c>
      <c r="E202" s="1" t="n">
        <v>46280</v>
      </c>
      <c r="F202" t="inlineStr">
        <is>
          <t>VÄRMLANDS LÄN</t>
        </is>
      </c>
      <c r="G202" t="inlineStr">
        <is>
          <t>GRUMS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45356</v>
      </c>
      <c r="E203" s="1" t="n">
        <v>46280</v>
      </c>
      <c r="F203" t="inlineStr">
        <is>
          <t>VÄRMLANDS LÄN</t>
        </is>
      </c>
      <c r="G203" t="inlineStr">
        <is>
          <t>GRUMS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44924</v>
      </c>
      <c r="E204" s="1" t="n">
        <v>46280</v>
      </c>
      <c r="F204" t="inlineStr">
        <is>
          <t>VÄRMLANDS LÄN</t>
        </is>
      </c>
      <c r="G204" t="inlineStr">
        <is>
          <t>GRUMS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45441</v>
      </c>
      <c r="E205" s="1" t="n">
        <v>46280</v>
      </c>
      <c r="F205" t="inlineStr">
        <is>
          <t>VÄRMLANDS LÄN</t>
        </is>
      </c>
      <c r="G205" t="inlineStr">
        <is>
          <t>GRUMS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45061</v>
      </c>
      <c r="E206" s="1" t="n">
        <v>46280</v>
      </c>
      <c r="F206" t="inlineStr">
        <is>
          <t>VÄRMLANDS LÄN</t>
        </is>
      </c>
      <c r="G206" t="inlineStr">
        <is>
          <t>GRUMS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10892-2022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44627</v>
      </c>
      <c r="E207" s="1" t="n">
        <v>46280</v>
      </c>
      <c r="F207" t="inlineStr">
        <is>
          <t>VÄRMLANDS LÄN</t>
        </is>
      </c>
      <c r="G207" t="inlineStr">
        <is>
          <t>GRUMS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44753</v>
      </c>
      <c r="E208" s="1" t="n">
        <v>46280</v>
      </c>
      <c r="F208" t="inlineStr">
        <is>
          <t>VÄRMLANDS LÄN</t>
        </is>
      </c>
      <c r="G208" t="inlineStr">
        <is>
          <t>GRUMS</t>
        </is>
      </c>
      <c r="H208" t="inlineStr">
        <is>
          <t>Bergvik skog väst AB</t>
        </is>
      </c>
      <c r="I208" t="n">
        <v>14.4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37221-2026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46274</v>
      </c>
      <c r="E209" s="1" t="n">
        <v>46280</v>
      </c>
      <c r="F209" t="inlineStr">
        <is>
          <t>VÄRMLANDS LÄN</t>
        </is>
      </c>
      <c r="G209" t="inlineStr">
        <is>
          <t>GRUMS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37243-2026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46274</v>
      </c>
      <c r="E210" s="1" t="n">
        <v>46280</v>
      </c>
      <c r="F210" t="inlineStr">
        <is>
          <t>VÄRMLANDS LÄN</t>
        </is>
      </c>
      <c r="G210" t="inlineStr">
        <is>
          <t>GRUMS</t>
        </is>
      </c>
      <c r="I210" t="n">
        <v>13.9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45188</v>
      </c>
      <c r="E211" s="1" t="n">
        <v>46280</v>
      </c>
      <c r="F211" t="inlineStr">
        <is>
          <t>VÄRMLANDS LÄN</t>
        </is>
      </c>
      <c r="G211" t="inlineStr">
        <is>
          <t>GRUMS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45272</v>
      </c>
      <c r="E212" s="1" t="n">
        <v>46280</v>
      </c>
      <c r="F212" t="inlineStr">
        <is>
          <t>VÄRMLANDS LÄN</t>
        </is>
      </c>
      <c r="G212" t="inlineStr">
        <is>
          <t>GRUMS</t>
        </is>
      </c>
      <c r="I212" t="n">
        <v>13.8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37486-2022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44809</v>
      </c>
      <c r="E213" s="1" t="n">
        <v>46280</v>
      </c>
      <c r="F213" t="inlineStr">
        <is>
          <t>VÄRMLANDS LÄN</t>
        </is>
      </c>
      <c r="G213" t="inlineStr">
        <is>
          <t>GRUMS</t>
        </is>
      </c>
      <c r="I213" t="n">
        <v>8.6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46299-2022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46280</v>
      </c>
      <c r="F214" t="inlineStr">
        <is>
          <t>VÄRMLANDS LÄN</t>
        </is>
      </c>
      <c r="G214" t="inlineStr">
        <is>
          <t>GRUMS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46280</v>
      </c>
      <c r="F215" t="inlineStr">
        <is>
          <t>VÄRMLANDS LÄN</t>
        </is>
      </c>
      <c r="G215" t="inlineStr">
        <is>
          <t>GRUMS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46280</v>
      </c>
      <c r="F216" t="inlineStr">
        <is>
          <t>VÄRMLANDS LÄN</t>
        </is>
      </c>
      <c r="G216" t="inlineStr">
        <is>
          <t>GRUMS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46280</v>
      </c>
      <c r="F217" t="inlineStr">
        <is>
          <t>VÄRMLANDS LÄN</t>
        </is>
      </c>
      <c r="G217" t="inlineStr">
        <is>
          <t>GRUMS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45391</v>
      </c>
      <c r="E218" s="1" t="n">
        <v>46280</v>
      </c>
      <c r="F218" t="inlineStr">
        <is>
          <t>VÄRMLANDS LÄN</t>
        </is>
      </c>
      <c r="G218" t="inlineStr">
        <is>
          <t>GRUMS</t>
        </is>
      </c>
      <c r="H218" t="inlineStr">
        <is>
          <t>Bergvik skog väst AB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29724-2023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45107</v>
      </c>
      <c r="E219" s="1" t="n">
        <v>46280</v>
      </c>
      <c r="F219" t="inlineStr">
        <is>
          <t>VÄRMLANDS LÄN</t>
        </is>
      </c>
      <c r="G219" t="inlineStr">
        <is>
          <t>GRUMS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46280</v>
      </c>
      <c r="F220" t="inlineStr">
        <is>
          <t>VÄRMLANDS LÄN</t>
        </is>
      </c>
      <c r="G220" t="inlineStr">
        <is>
          <t>GRUMS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45432</v>
      </c>
      <c r="E221" s="1" t="n">
        <v>46280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16635-2024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45408</v>
      </c>
      <c r="E222" s="1" t="n">
        <v>46280</v>
      </c>
      <c r="F222" t="inlineStr">
        <is>
          <t>VÄRMLANDS LÄN</t>
        </is>
      </c>
      <c r="G222" t="inlineStr">
        <is>
          <t>GRUMS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7922-2022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44608</v>
      </c>
      <c r="E223" s="1" t="n">
        <v>46280</v>
      </c>
      <c r="F223" t="inlineStr">
        <is>
          <t>VÄRMLANDS LÄN</t>
        </is>
      </c>
      <c r="G223" t="inlineStr">
        <is>
          <t>GRUMS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45670</v>
      </c>
      <c r="E224" s="1" t="n">
        <v>46280</v>
      </c>
      <c r="F224" t="inlineStr">
        <is>
          <t>VÄRMLANDS LÄN</t>
        </is>
      </c>
      <c r="G224" t="inlineStr">
        <is>
          <t>GRUMS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12311-2024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45378</v>
      </c>
      <c r="E225" s="1" t="n">
        <v>46280</v>
      </c>
      <c r="F225" t="inlineStr">
        <is>
          <t>VÄRMLANDS LÄN</t>
        </is>
      </c>
      <c r="G225" t="inlineStr">
        <is>
          <t>GRUMS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45124</v>
      </c>
      <c r="E226" s="1" t="n">
        <v>46280</v>
      </c>
      <c r="F226" t="inlineStr">
        <is>
          <t>VÄRMLANDS LÄN</t>
        </is>
      </c>
      <c r="G226" t="inlineStr">
        <is>
          <t>GRUMS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46280</v>
      </c>
      <c r="F227" t="inlineStr">
        <is>
          <t>VÄRMLANDS LÄN</t>
        </is>
      </c>
      <c r="G227" t="inlineStr">
        <is>
          <t>GRUMS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45231</v>
      </c>
      <c r="E228" s="1" t="n">
        <v>46280</v>
      </c>
      <c r="F228" t="inlineStr">
        <is>
          <t>VÄRMLANDS LÄN</t>
        </is>
      </c>
      <c r="G228" t="inlineStr">
        <is>
          <t>GRUMS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25014-2024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46280</v>
      </c>
      <c r="F229" t="inlineStr">
        <is>
          <t>VÄRMLANDS LÄN</t>
        </is>
      </c>
      <c r="G229" t="inlineStr">
        <is>
          <t>GRUMS</t>
        </is>
      </c>
      <c r="I229" t="n">
        <v>12.8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31964-2023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45107</v>
      </c>
      <c r="E230" s="1" t="n">
        <v>46280</v>
      </c>
      <c r="F230" t="inlineStr">
        <is>
          <t>VÄRMLANDS LÄN</t>
        </is>
      </c>
      <c r="G230" t="inlineStr">
        <is>
          <t>GRUMS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45377</v>
      </c>
      <c r="E231" s="1" t="n">
        <v>46280</v>
      </c>
      <c r="F231" t="inlineStr">
        <is>
          <t>VÄRMLANDS LÄN</t>
        </is>
      </c>
      <c r="G231" t="inlineStr">
        <is>
          <t>GRUMS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45377</v>
      </c>
      <c r="E232" s="1" t="n">
        <v>46280</v>
      </c>
      <c r="F232" t="inlineStr">
        <is>
          <t>VÄRMLANDS LÄN</t>
        </is>
      </c>
      <c r="G232" t="inlineStr">
        <is>
          <t>GRUMS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45329</v>
      </c>
      <c r="E233" s="1" t="n">
        <v>46280</v>
      </c>
      <c r="F233" t="inlineStr">
        <is>
          <t>VÄRMLANDS LÄN</t>
        </is>
      </c>
      <c r="G233" t="inlineStr">
        <is>
          <t>GRUMS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64304-2023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45280</v>
      </c>
      <c r="E234" s="1" t="n">
        <v>46280</v>
      </c>
      <c r="F234" t="inlineStr">
        <is>
          <t>VÄRMLANDS LÄN</t>
        </is>
      </c>
      <c r="G234" t="inlineStr">
        <is>
          <t>GRUMS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48553-2023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45208</v>
      </c>
      <c r="E235" s="1" t="n">
        <v>46280</v>
      </c>
      <c r="F235" t="inlineStr">
        <is>
          <t>VÄRMLANDS LÄN</t>
        </is>
      </c>
      <c r="G235" t="inlineStr">
        <is>
          <t>GRUMS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46280</v>
      </c>
      <c r="F236" t="inlineStr">
        <is>
          <t>VÄRMLANDS LÄN</t>
        </is>
      </c>
      <c r="G236" t="inlineStr">
        <is>
          <t>GRUMS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16772-2024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45411</v>
      </c>
      <c r="E237" s="1" t="n">
        <v>46280</v>
      </c>
      <c r="F237" t="inlineStr">
        <is>
          <t>VÄRMLANDS LÄN</t>
        </is>
      </c>
      <c r="G237" t="inlineStr">
        <is>
          <t>GRUMS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46280</v>
      </c>
      <c r="F238" t="inlineStr">
        <is>
          <t>VÄRMLANDS LÄN</t>
        </is>
      </c>
      <c r="G238" t="inlineStr">
        <is>
          <t>GRUMS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66056-2021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44517</v>
      </c>
      <c r="E239" s="1" t="n">
        <v>46280</v>
      </c>
      <c r="F239" t="inlineStr">
        <is>
          <t>VÄRMLANDS LÄN</t>
        </is>
      </c>
      <c r="G239" t="inlineStr">
        <is>
          <t>GRUMS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23189-2024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45450</v>
      </c>
      <c r="E240" s="1" t="n">
        <v>46280</v>
      </c>
      <c r="F240" t="inlineStr">
        <is>
          <t>VÄRMLANDS LÄN</t>
        </is>
      </c>
      <c r="G240" t="inlineStr">
        <is>
          <t>GRUMS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7991-2024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45350</v>
      </c>
      <c r="E241" s="1" t="n">
        <v>46280</v>
      </c>
      <c r="F241" t="inlineStr">
        <is>
          <t>VÄRMLANDS LÄN</t>
        </is>
      </c>
      <c r="G241" t="inlineStr">
        <is>
          <t>GRUMS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59542-2022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44907</v>
      </c>
      <c r="E242" s="1" t="n">
        <v>46280</v>
      </c>
      <c r="F242" t="inlineStr">
        <is>
          <t>VÄRMLANDS LÄN</t>
        </is>
      </c>
      <c r="G242" t="inlineStr">
        <is>
          <t>GRUMS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52848-2021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44467</v>
      </c>
      <c r="E243" s="1" t="n">
        <v>46280</v>
      </c>
      <c r="F243" t="inlineStr">
        <is>
          <t>VÄRMLANDS LÄN</t>
        </is>
      </c>
      <c r="G243" t="inlineStr">
        <is>
          <t>GRUMS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45708</v>
      </c>
      <c r="E244" s="1" t="n">
        <v>46280</v>
      </c>
      <c r="F244" t="inlineStr">
        <is>
          <t>VÄRMLANDS LÄN</t>
        </is>
      </c>
      <c r="G244" t="inlineStr">
        <is>
          <t>GRUMS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73310-2021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44547</v>
      </c>
      <c r="E245" s="1" t="n">
        <v>46280</v>
      </c>
      <c r="F245" t="inlineStr">
        <is>
          <t>VÄRMLANDS LÄN</t>
        </is>
      </c>
      <c r="G245" t="inlineStr">
        <is>
          <t>GRUMS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71781-2021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44539</v>
      </c>
      <c r="E246" s="1" t="n">
        <v>46280</v>
      </c>
      <c r="F246" t="inlineStr">
        <is>
          <t>VÄRMLANDS LÄN</t>
        </is>
      </c>
      <c r="G246" t="inlineStr">
        <is>
          <t>GRUMS</t>
        </is>
      </c>
      <c r="H246" t="inlineStr">
        <is>
          <t>Bergvik skog väst AB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45708</v>
      </c>
      <c r="E247" s="1" t="n">
        <v>46280</v>
      </c>
      <c r="F247" t="inlineStr">
        <is>
          <t>VÄRMLANDS LÄN</t>
        </is>
      </c>
      <c r="G247" t="inlineStr">
        <is>
          <t>GRUMS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44762</v>
      </c>
      <c r="E248" s="1" t="n">
        <v>46280</v>
      </c>
      <c r="F248" t="inlineStr">
        <is>
          <t>VÄRMLANDS LÄN</t>
        </is>
      </c>
      <c r="G248" t="inlineStr">
        <is>
          <t>GRUMS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45757</v>
      </c>
      <c r="E249" s="1" t="n">
        <v>46280</v>
      </c>
      <c r="F249" t="inlineStr">
        <is>
          <t>VÄRMLANDS LÄN</t>
        </is>
      </c>
      <c r="G249" t="inlineStr">
        <is>
          <t>GRUMS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46280</v>
      </c>
      <c r="F250" t="inlineStr">
        <is>
          <t>VÄRMLANDS LÄN</t>
        </is>
      </c>
      <c r="G250" t="inlineStr">
        <is>
          <t>GRUMS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45432</v>
      </c>
      <c r="E251" s="1" t="n">
        <v>46280</v>
      </c>
      <c r="F251" t="inlineStr">
        <is>
          <t>VÄRMLANDS LÄN</t>
        </is>
      </c>
      <c r="G251" t="inlineStr">
        <is>
          <t>GRUMS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45474</v>
      </c>
      <c r="E252" s="1" t="n">
        <v>46280</v>
      </c>
      <c r="F252" t="inlineStr">
        <is>
          <t>VÄRMLANDS LÄN</t>
        </is>
      </c>
      <c r="G252" t="inlineStr">
        <is>
          <t>GRUMS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46280</v>
      </c>
      <c r="F253" t="inlineStr">
        <is>
          <t>VÄRMLANDS LÄN</t>
        </is>
      </c>
      <c r="G253" t="inlineStr">
        <is>
          <t>GRUMS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46280</v>
      </c>
      <c r="F254" t="inlineStr">
        <is>
          <t>VÄRMLANDS LÄN</t>
        </is>
      </c>
      <c r="G254" t="inlineStr">
        <is>
          <t>GRUMS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20369-2024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45435</v>
      </c>
      <c r="E255" s="1" t="n">
        <v>46280</v>
      </c>
      <c r="F255" t="inlineStr">
        <is>
          <t>VÄRMLANDS LÄN</t>
        </is>
      </c>
      <c r="G255" t="inlineStr">
        <is>
          <t>GRUMS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7272-2022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44606</v>
      </c>
      <c r="E256" s="1" t="n">
        <v>46280</v>
      </c>
      <c r="F256" t="inlineStr">
        <is>
          <t>VÄRMLANDS LÄN</t>
        </is>
      </c>
      <c r="G256" t="inlineStr">
        <is>
          <t>GRUMS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46280</v>
      </c>
      <c r="F257" t="inlineStr">
        <is>
          <t>VÄRMLANDS LÄN</t>
        </is>
      </c>
      <c r="G257" t="inlineStr">
        <is>
          <t>GRUMS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45546</v>
      </c>
      <c r="E258" s="1" t="n">
        <v>46280</v>
      </c>
      <c r="F258" t="inlineStr">
        <is>
          <t>VÄRMLANDS LÄN</t>
        </is>
      </c>
      <c r="G258" t="inlineStr">
        <is>
          <t>GRUMS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63919-2021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44509</v>
      </c>
      <c r="E259" s="1" t="n">
        <v>46280</v>
      </c>
      <c r="F259" t="inlineStr">
        <is>
          <t>VÄRMLANDS LÄN</t>
        </is>
      </c>
      <c r="G259" t="inlineStr">
        <is>
          <t>GRUMS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46280</v>
      </c>
      <c r="F260" t="inlineStr">
        <is>
          <t>VÄRMLANDS LÄN</t>
        </is>
      </c>
      <c r="G260" t="inlineStr">
        <is>
          <t>GRUMS</t>
        </is>
      </c>
      <c r="I260" t="n">
        <v>8.4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45153</v>
      </c>
      <c r="E261" s="1" t="n">
        <v>46280</v>
      </c>
      <c r="F261" t="inlineStr">
        <is>
          <t>VÄRMLANDS LÄN</t>
        </is>
      </c>
      <c r="G261" t="inlineStr">
        <is>
          <t>GRUMS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46280</v>
      </c>
      <c r="F262" t="inlineStr">
        <is>
          <t>VÄRMLANDS LÄN</t>
        </is>
      </c>
      <c r="G262" t="inlineStr">
        <is>
          <t>GRUMS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45427</v>
      </c>
      <c r="E263" s="1" t="n">
        <v>46280</v>
      </c>
      <c r="F263" t="inlineStr">
        <is>
          <t>VÄRMLANDS LÄN</t>
        </is>
      </c>
      <c r="G263" t="inlineStr">
        <is>
          <t>GRUMS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45727</v>
      </c>
      <c r="E264" s="1" t="n">
        <v>46280</v>
      </c>
      <c r="F264" t="inlineStr">
        <is>
          <t>VÄRMLANDS LÄN</t>
        </is>
      </c>
      <c r="G264" t="inlineStr">
        <is>
          <t>GRUMS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45377</v>
      </c>
      <c r="E265" s="1" t="n">
        <v>46280</v>
      </c>
      <c r="F265" t="inlineStr">
        <is>
          <t>VÄRMLANDS LÄN</t>
        </is>
      </c>
      <c r="G265" t="inlineStr">
        <is>
          <t>GRUMS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45484</v>
      </c>
      <c r="E266" s="1" t="n">
        <v>46280</v>
      </c>
      <c r="F266" t="inlineStr">
        <is>
          <t>VÄRMLANDS LÄN</t>
        </is>
      </c>
      <c r="G266" t="inlineStr">
        <is>
          <t>GRUMS</t>
        </is>
      </c>
      <c r="H266" t="inlineStr">
        <is>
          <t>Bergvik skog väst AB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46280</v>
      </c>
      <c r="F267" t="inlineStr">
        <is>
          <t>VÄRMLANDS LÄN</t>
        </is>
      </c>
      <c r="G267" t="inlineStr">
        <is>
          <t>GRUMS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12217-2025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45729</v>
      </c>
      <c r="E268" s="1" t="n">
        <v>46280</v>
      </c>
      <c r="F268" t="inlineStr">
        <is>
          <t>VÄRMLANDS LÄN</t>
        </is>
      </c>
      <c r="G268" t="inlineStr">
        <is>
          <t>GRUMS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45785</v>
      </c>
      <c r="E269" s="1" t="n">
        <v>46280</v>
      </c>
      <c r="F269" t="inlineStr">
        <is>
          <t>VÄRMLANDS LÄN</t>
        </is>
      </c>
      <c r="G269" t="inlineStr">
        <is>
          <t>GRUMS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22537-2025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45787</v>
      </c>
      <c r="E270" s="1" t="n">
        <v>46280</v>
      </c>
      <c r="F270" t="inlineStr">
        <is>
          <t>VÄRMLANDS LÄN</t>
        </is>
      </c>
      <c r="G270" t="inlineStr">
        <is>
          <t>GRUMS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46280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46280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46280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46280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46280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2026-09-15T08:15:53Z</dcterms:created>
  <dcterms:modified xmlns:dcterms="http://purl.org/dc/terms/" xmlns:xsi="http://www.w3.org/2001/XMLSchema-instance" xsi:type="dcterms:W3CDTF">2026-09-15T08:15:54Z</dcterms:modified>
</cp:coreProperties>
</file>