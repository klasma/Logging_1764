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46306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46306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909-2025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45664</v>
      </c>
      <c r="E4" s="1" t="n">
        <v>46306</v>
      </c>
      <c r="F4" t="inlineStr">
        <is>
          <t>VÄRMLANDS LÄN</t>
        </is>
      </c>
      <c r="G4" t="inlineStr">
        <is>
          <t>GRUMS</t>
        </is>
      </c>
      <c r="I4" t="n">
        <v>4.5</v>
      </c>
      <c r="J4" t="n">
        <v>0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Silverblåvinge
Skogsklocka
Skuggorangelav
Brun nållav
Gulpudrad spiklav</t>
        </is>
      </c>
      <c r="W4">
        <f>HYPERLINK("https://klasma.github.io/Logging_1764/artfynd/A 909-2025 artfynd.xlsx", "A 909-2025")</f>
        <v/>
      </c>
      <c r="X4">
        <f>HYPERLINK("https://klasma.github.io/Logging_1764/kartor/A 909-2025 karta.png", "A 909-2025")</f>
        <v/>
      </c>
      <c r="Y4">
        <f>HYPERLINK("https://klasma.github.io/Logging_1764/kartor_geotiff/A 909-2025 georefererad karta.tif", "A 909-2025")</f>
        <v/>
      </c>
      <c r="AA4">
        <f>HYPERLINK("https://klasma.github.io/Logging_1764/klagomål/A 909-2025 FSC-klagomål.docx", "A 909-2025")</f>
        <v/>
      </c>
      <c r="AB4">
        <f>HYPERLINK("https://klasma.github.io/Logging_1764/klagomålsmail/A 909-2025 FSC-klagomål mail.docx", "A 909-2025")</f>
        <v/>
      </c>
      <c r="AC4">
        <f>HYPERLINK("https://klasma.github.io/Logging_1764/tillsyn/A 909-2025 tillsynsbegäran.docx", "A 909-2025")</f>
        <v/>
      </c>
      <c r="AD4">
        <f>HYPERLINK("https://klasma.github.io/Logging_1764/tillsynsmail/A 909-2025 tillsynsbegäran mail.docx", "A 909-2025")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46306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46306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46306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46306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46306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46306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46306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7931-2025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45706</v>
      </c>
      <c r="E12" s="1" t="n">
        <v>46306</v>
      </c>
      <c r="F12" t="inlineStr">
        <is>
          <t>VÄRMLANDS LÄN</t>
        </is>
      </c>
      <c r="G12" t="inlineStr">
        <is>
          <t>GRUMS</t>
        </is>
      </c>
      <c r="H12" t="inlineStr">
        <is>
          <t>Bergvik skog väst AB</t>
        </is>
      </c>
      <c r="I12" t="n">
        <v>13.8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Blåsippa
Skogsödla</t>
        </is>
      </c>
      <c r="W12">
        <f>HYPERLINK("https://klasma.github.io/Logging_1764/artfynd/A 7931-2025 artfynd.xlsx", "A 7931-2025")</f>
        <v/>
      </c>
      <c r="X12">
        <f>HYPERLINK("https://klasma.github.io/Logging_1764/kartor/A 7931-2025 karta.png", "A 7931-2025")</f>
        <v/>
      </c>
      <c r="Y12">
        <f>HYPERLINK("https://klasma.github.io/Logging_1764/kartor_geotiff/A 7931-2025 georefererad karta.tif", "A 7931-2025")</f>
        <v/>
      </c>
      <c r="AA12">
        <f>HYPERLINK("https://klasma.github.io/Logging_1764/klagomål/A 7931-2025 FSC-klagomål.docx", "A 7931-2025")</f>
        <v/>
      </c>
      <c r="AB12">
        <f>HYPERLINK("https://klasma.github.io/Logging_1764/klagomålsmail/A 7931-2025 FSC-klagomål mail.docx", "A 7931-2025")</f>
        <v/>
      </c>
      <c r="AC12">
        <f>HYPERLINK("https://klasma.github.io/Logging_1764/tillsyn/A 7931-2025 tillsynsbegäran.docx", "A 7931-2025")</f>
        <v/>
      </c>
      <c r="AD12">
        <f>HYPERLINK("https://klasma.github.io/Logging_1764/tillsynsmail/A 7931-2025 tillsynsbegäran mail.docx", "A 7931-2025")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46306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46306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41113-2025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45898</v>
      </c>
      <c r="E15" s="1" t="n">
        <v>46306</v>
      </c>
      <c r="F15" t="inlineStr">
        <is>
          <t>VÄRMLANDS LÄN</t>
        </is>
      </c>
      <c r="G15" t="inlineStr">
        <is>
          <t>GRUMS</t>
        </is>
      </c>
      <c r="I15" t="n">
        <v>4.2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Violmussling
Tofsmes</t>
        </is>
      </c>
      <c r="W15">
        <f>HYPERLINK("https://klasma.github.io/Logging_1764/artfynd/A 41113-2025 artfynd.xlsx", "A 41113-2025")</f>
        <v/>
      </c>
      <c r="X15">
        <f>HYPERLINK("https://klasma.github.io/Logging_1764/kartor/A 41113-2025 karta.png", "A 41113-2025")</f>
        <v/>
      </c>
      <c r="Y15">
        <f>HYPERLINK("https://klasma.github.io/Logging_1764/kartor_geotiff/A 41113-2025 georefererad karta.tif", "A 41113-2025")</f>
        <v/>
      </c>
      <c r="AA15">
        <f>HYPERLINK("https://klasma.github.io/Logging_1764/klagomål/A 41113-2025 FSC-klagomål.docx", "A 41113-2025")</f>
        <v/>
      </c>
      <c r="AB15">
        <f>HYPERLINK("https://klasma.github.io/Logging_1764/klagomålsmail/A 41113-2025 FSC-klagomål mail.docx", "A 41113-2025")</f>
        <v/>
      </c>
      <c r="AC15">
        <f>HYPERLINK("https://klasma.github.io/Logging_1764/tillsyn/A 41113-2025 tillsynsbegäran.docx", "A 41113-2025")</f>
        <v/>
      </c>
      <c r="AD15">
        <f>HYPERLINK("https://klasma.github.io/Logging_1764/tillsynsmail/A 41113-2025 tillsynsbegäran mail.docx", "A 41113-2025")</f>
        <v/>
      </c>
    </row>
    <row r="16" ht="15" customHeight="1">
      <c r="A16" t="inlineStr">
        <is>
          <t>A 5280-2022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44593</v>
      </c>
      <c r="E16" s="1" t="n">
        <v>46306</v>
      </c>
      <c r="F16" t="inlineStr">
        <is>
          <t>VÄRMLANDS LÄN</t>
        </is>
      </c>
      <c r="G16" t="inlineStr">
        <is>
          <t>GRUMS</t>
        </is>
      </c>
      <c r="H16" t="inlineStr">
        <is>
          <t>Bergvik skog väst AB</t>
        </is>
      </c>
      <c r="I16" t="n">
        <v>37.1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1</v>
      </c>
      <c r="V16" s="2" t="inlineStr">
        <is>
          <t>Ask
Tjäder</t>
        </is>
      </c>
      <c r="W16">
        <f>HYPERLINK("https://klasma.github.io/Logging_1764/artfynd/A 5280-2022 artfynd.xlsx", "A 5280-2022")</f>
        <v/>
      </c>
      <c r="X16">
        <f>HYPERLINK("https://klasma.github.io/Logging_1764/kartor/A 5280-2022 karta.png", "A 5280-2022")</f>
        <v/>
      </c>
      <c r="Y16">
        <f>HYPERLINK("https://klasma.github.io/Logging_1764/kartor_geotiff/A 5280-2022 georefererad karta.tif", "A 5280-2022")</f>
        <v/>
      </c>
      <c r="AA16">
        <f>HYPERLINK("https://klasma.github.io/Logging_1764/klagomål/A 5280-2022 FSC-klagomål.docx", "A 5280-2022")</f>
        <v/>
      </c>
      <c r="AB16">
        <f>HYPERLINK("https://klasma.github.io/Logging_1764/klagomålsmail/A 5280-2022 FSC-klagomål mail.docx", "A 5280-2022")</f>
        <v/>
      </c>
      <c r="AC16">
        <f>HYPERLINK("https://klasma.github.io/Logging_1764/tillsyn/A 5280-2022 tillsynsbegäran.docx", "A 5280-2022")</f>
        <v/>
      </c>
      <c r="AD16">
        <f>HYPERLINK("https://klasma.github.io/Logging_1764/tillsynsmail/A 5280-2022 tillsynsbegäran mail.docx", "A 5280-2022")</f>
        <v/>
      </c>
      <c r="AE16">
        <f>HYPERLINK("https://klasma.github.io/Logging_1764/fåglar/A 5280-2022 prioriterade fågelarter.docx", "A 5280-2022")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46306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46306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46306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46306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46306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34357-2022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44792</v>
      </c>
      <c r="E22" s="1" t="n">
        <v>46306</v>
      </c>
      <c r="F22" t="inlineStr">
        <is>
          <t>VÄRMLANDS LÄN</t>
        </is>
      </c>
      <c r="G22" t="inlineStr">
        <is>
          <t>GRUMS</t>
        </is>
      </c>
      <c r="I22" t="n">
        <v>15.3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HYPERLINK("https://klasma.github.io/Logging_1764/artfynd/A 34357-2022 artfynd.xlsx", "A 34357-2022")</f>
        <v/>
      </c>
      <c r="X22">
        <f>HYPERLINK("https://klasma.github.io/Logging_1764/kartor/A 34357-2022 karta.png", "A 34357-2022")</f>
        <v/>
      </c>
      <c r="Y22">
        <f>HYPERLINK("https://klasma.github.io/Logging_1764/kartor_geotiff/A 34357-2022 georefererad karta.tif", "A 34357-2022")</f>
        <v/>
      </c>
      <c r="AA22">
        <f>HYPERLINK("https://klasma.github.io/Logging_1764/klagomål/A 34357-2022 FSC-klagomål.docx", "A 34357-2022")</f>
        <v/>
      </c>
      <c r="AB22">
        <f>HYPERLINK("https://klasma.github.io/Logging_1764/klagomålsmail/A 34357-2022 FSC-klagomål mail.docx", "A 34357-2022")</f>
        <v/>
      </c>
      <c r="AC22">
        <f>HYPERLINK("https://klasma.github.io/Logging_1764/tillsyn/A 34357-2022 tillsynsbegäran.docx", "A 34357-2022")</f>
        <v/>
      </c>
      <c r="AD22">
        <f>HYPERLINK("https://klasma.github.io/Logging_1764/tillsynsmail/A 34357-2022 tillsynsbegäran mail.docx", "A 34357-2022")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46306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10647-2024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45368</v>
      </c>
      <c r="E24" s="1" t="n">
        <v>46306</v>
      </c>
      <c r="F24" t="inlineStr">
        <is>
          <t>VÄRMLANDS LÄN</t>
        </is>
      </c>
      <c r="G24" t="inlineStr">
        <is>
          <t>GRUMS</t>
        </is>
      </c>
      <c r="I24" t="n">
        <v>4.1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Kråka</t>
        </is>
      </c>
      <c r="W24">
        <f>HYPERLINK("https://klasma.github.io/Logging_1764/artfynd/A 10647-2024 artfynd.xlsx", "A 10647-2024")</f>
        <v/>
      </c>
      <c r="X24">
        <f>HYPERLINK("https://klasma.github.io/Logging_1764/kartor/A 10647-2024 karta.png", "A 10647-2024")</f>
        <v/>
      </c>
      <c r="Y24">
        <f>HYPERLINK("https://klasma.github.io/Logging_1764/kartor_geotiff/A 10647-2024 georefererad karta.tif", "A 10647-2024")</f>
        <v/>
      </c>
      <c r="AA24">
        <f>HYPERLINK("https://klasma.github.io/Logging_1764/klagomål/A 10647-2024 FSC-klagomål.docx", "A 10647-2024")</f>
        <v/>
      </c>
      <c r="AB24">
        <f>HYPERLINK("https://klasma.github.io/Logging_1764/klagomålsmail/A 10647-2024 FSC-klagomål mail.docx", "A 10647-2024")</f>
        <v/>
      </c>
      <c r="AC24">
        <f>HYPERLINK("https://klasma.github.io/Logging_1764/tillsyn/A 10647-2024 tillsynsbegäran.docx", "A 10647-2024")</f>
        <v/>
      </c>
      <c r="AD24">
        <f>HYPERLINK("https://klasma.github.io/Logging_1764/tillsynsmail/A 10647-2024 tillsynsbegäran mail.docx", "A 10647-2024")</f>
        <v/>
      </c>
    </row>
    <row r="25" ht="15" customHeight="1">
      <c r="A25" t="inlineStr">
        <is>
          <t>A 37339-2022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44806</v>
      </c>
      <c r="E25" s="1" t="n">
        <v>46306</v>
      </c>
      <c r="F25" t="inlineStr">
        <is>
          <t>VÄRMLANDS LÄN</t>
        </is>
      </c>
      <c r="G25" t="inlineStr">
        <is>
          <t>GRUMS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37339-2022 artfynd.xlsx", "A 37339-2022")</f>
        <v/>
      </c>
      <c r="X25">
        <f>HYPERLINK("https://klasma.github.io/Logging_1764/kartor/A 37339-2022 karta.png", "A 37339-2022")</f>
        <v/>
      </c>
      <c r="Y25">
        <f>HYPERLINK("https://klasma.github.io/Logging_1764/kartor_geotiff/A 37339-2022 georefererad karta.tif", "A 37339-2022")</f>
        <v/>
      </c>
      <c r="AA25">
        <f>HYPERLINK("https://klasma.github.io/Logging_1764/klagomål/A 37339-2022 FSC-klagomål.docx", "A 37339-2022")</f>
        <v/>
      </c>
      <c r="AB25">
        <f>HYPERLINK("https://klasma.github.io/Logging_1764/klagomålsmail/A 37339-2022 FSC-klagomål mail.docx", "A 37339-2022")</f>
        <v/>
      </c>
      <c r="AC25">
        <f>HYPERLINK("https://klasma.github.io/Logging_1764/tillsyn/A 37339-2022 tillsynsbegäran.docx", "A 37339-2022")</f>
        <v/>
      </c>
      <c r="AD25">
        <f>HYPERLINK("https://klasma.github.io/Logging_1764/tillsynsmail/A 37339-2022 tillsynsbegäran mail.docx", "A 37339-2022")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46306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62675-2023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45271</v>
      </c>
      <c r="E27" s="1" t="n">
        <v>46306</v>
      </c>
      <c r="F27" t="inlineStr">
        <is>
          <t>VÄRMLANDS LÄN</t>
        </is>
      </c>
      <c r="G27" t="inlineStr">
        <is>
          <t>GRUMS</t>
        </is>
      </c>
      <c r="I27" t="n">
        <v>3.4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 trolldruva</t>
        </is>
      </c>
      <c r="W27">
        <f>HYPERLINK("https://klasma.github.io/Logging_1764/artfynd/A 62675-2023 artfynd.xlsx", "A 62675-2023")</f>
        <v/>
      </c>
      <c r="X27">
        <f>HYPERLINK("https://klasma.github.io/Logging_1764/kartor/A 62675-2023 karta.png", "A 62675-2023")</f>
        <v/>
      </c>
      <c r="Y27">
        <f>HYPERLINK("https://klasma.github.io/Logging_1764/kartor_geotiff/A 62675-2023 georefererad karta.tif", "A 62675-2023")</f>
        <v/>
      </c>
      <c r="AA27">
        <f>HYPERLINK("https://klasma.github.io/Logging_1764/klagomål/A 62675-2023 FSC-klagomål.docx", "A 62675-2023")</f>
        <v/>
      </c>
      <c r="AB27">
        <f>HYPERLINK("https://klasma.github.io/Logging_1764/klagomålsmail/A 62675-2023 FSC-klagomål mail.docx", "A 62675-2023")</f>
        <v/>
      </c>
      <c r="AC27">
        <f>HYPERLINK("https://klasma.github.io/Logging_1764/tillsyn/A 62675-2023 tillsynsbegäran.docx", "A 62675-2023")</f>
        <v/>
      </c>
      <c r="AD27">
        <f>HYPERLINK("https://klasma.github.io/Logging_1764/tillsynsmail/A 62675-2023 tillsynsbegäran mail.docx", "A 62675-2023")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46306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46306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46306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HYPERLINK("https://klasma.github.io/Logging_1764/artfynd/A 47146-2025 artfynd.xlsx", "A 47146-2025")</f>
        <v/>
      </c>
      <c r="X30">
        <f>HYPERLINK("https://klasma.github.io/Logging_1764/kartor/A 47146-2025 karta.png", "A 47146-2025")</f>
        <v/>
      </c>
      <c r="Y30">
        <f>HYPERLINK("https://klasma.github.io/Logging_1764/kartor_geotiff/A 47146-2025 georefererad karta.tif", "A 47146-2025")</f>
        <v/>
      </c>
      <c r="AA30">
        <f>HYPERLINK("https://klasma.github.io/Logging_1764/klagomål/A 47146-2025 FSC-klagomål.docx", "A 47146-2025")</f>
        <v/>
      </c>
      <c r="AB30">
        <f>HYPERLINK("https://klasma.github.io/Logging_1764/klagomålsmail/A 47146-2025 FSC-klagomål mail.docx", "A 47146-2025")</f>
        <v/>
      </c>
      <c r="AC30">
        <f>HYPERLINK("https://klasma.github.io/Logging_1764/tillsyn/A 47146-2025 tillsynsbegäran.docx", "A 47146-2025")</f>
        <v/>
      </c>
      <c r="AD30">
        <f>HYPERLINK("https://klasma.github.io/Logging_1764/tillsynsmail/A 47146-2025 tillsynsbegäran mail.docx", "A 47146-2025")</f>
        <v/>
      </c>
      <c r="AE30">
        <f>HYPERLINK("https://klasma.github.io/Logging_1764/fåglar/A 47146-2025 prioriterade fågelarter.docx", "A 47146-2025")</f>
        <v/>
      </c>
    </row>
    <row r="31" ht="15" customHeight="1">
      <c r="A31" t="inlineStr">
        <is>
          <t>A 19524-2024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45429</v>
      </c>
      <c r="E31" s="1" t="n">
        <v>46306</v>
      </c>
      <c r="F31" t="inlineStr">
        <is>
          <t>VÄRMLANDS LÄN</t>
        </is>
      </c>
      <c r="G31" t="inlineStr">
        <is>
          <t>GRUMS</t>
        </is>
      </c>
      <c r="I31" t="n">
        <v>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Sädesärla</t>
        </is>
      </c>
      <c r="W31">
        <f>HYPERLINK("https://klasma.github.io/Logging_1764/artfynd/A 19524-2024 artfynd.xlsx", "A 19524-2024")</f>
        <v/>
      </c>
      <c r="X31">
        <f>HYPERLINK("https://klasma.github.io/Logging_1764/kartor/A 19524-2024 karta.png", "A 19524-2024")</f>
        <v/>
      </c>
      <c r="Y31">
        <f>HYPERLINK("https://klasma.github.io/Logging_1764/kartor_geotiff/A 19524-2024 georefererad karta.tif", "A 19524-2024")</f>
        <v/>
      </c>
      <c r="AA31">
        <f>HYPERLINK("https://klasma.github.io/Logging_1764/klagomål/A 19524-2024 FSC-klagomål.docx", "A 19524-2024")</f>
        <v/>
      </c>
      <c r="AB31">
        <f>HYPERLINK("https://klasma.github.io/Logging_1764/klagomålsmail/A 19524-2024 FSC-klagomål mail.docx", "A 19524-2024")</f>
        <v/>
      </c>
      <c r="AC31">
        <f>HYPERLINK("https://klasma.github.io/Logging_1764/tillsyn/A 19524-2024 tillsynsbegäran.docx", "A 19524-2024")</f>
        <v/>
      </c>
      <c r="AD31">
        <f>HYPERLINK("https://klasma.github.io/Logging_1764/tillsynsmail/A 19524-2024 tillsynsbegäran mail.docx", "A 19524-2024")</f>
        <v/>
      </c>
      <c r="AE31">
        <f>HYPERLINK("https://klasma.github.io/Logging_1764/fåglar/A 19524-2024 prioriterade fågelarter.docx", "A 19524-2024")</f>
        <v/>
      </c>
    </row>
    <row r="32" ht="15" customHeight="1">
      <c r="A32" t="inlineStr">
        <is>
          <t>A 8363-2025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45708</v>
      </c>
      <c r="E32" s="1" t="n">
        <v>46306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Mandelriska</t>
        </is>
      </c>
      <c r="W32">
        <f>HYPERLINK("https://klasma.github.io/Logging_1764/artfynd/A 8363-2025 artfynd.xlsx", "A 8363-2025")</f>
        <v/>
      </c>
      <c r="X32">
        <f>HYPERLINK("https://klasma.github.io/Logging_1764/kartor/A 8363-2025 karta.png", "A 8363-2025")</f>
        <v/>
      </c>
      <c r="Y32">
        <f>HYPERLINK("https://klasma.github.io/Logging_1764/kartor_geotiff/A 8363-2025 georefererad karta.tif", "A 8363-2025")</f>
        <v/>
      </c>
      <c r="AA32">
        <f>HYPERLINK("https://klasma.github.io/Logging_1764/klagomål/A 8363-2025 FSC-klagomål.docx", "A 8363-2025")</f>
        <v/>
      </c>
      <c r="AB32">
        <f>HYPERLINK("https://klasma.github.io/Logging_1764/klagomålsmail/A 8363-2025 FSC-klagomål mail.docx", "A 8363-2025")</f>
        <v/>
      </c>
      <c r="AC32">
        <f>HYPERLINK("https://klasma.github.io/Logging_1764/tillsyn/A 8363-2025 tillsynsbegäran.docx", "A 8363-2025")</f>
        <v/>
      </c>
      <c r="AD32">
        <f>HYPERLINK("https://klasma.github.io/Logging_1764/tillsynsmail/A 8363-2025 tillsynsbegäran mail.docx", "A 8363-2025")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46306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46306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35077-2024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46306</v>
      </c>
      <c r="F35" t="inlineStr">
        <is>
          <t>VÄRMLANDS LÄN</t>
        </is>
      </c>
      <c r="G35" t="inlineStr">
        <is>
          <t>GRUMS</t>
        </is>
      </c>
      <c r="I35" t="n">
        <v>2.1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HYPERLINK("https://klasma.github.io/Logging_1764/artfynd/A 35077-2024 artfynd.xlsx", "A 35077-2024")</f>
        <v/>
      </c>
      <c r="X35">
        <f>HYPERLINK("https://klasma.github.io/Logging_1764/kartor/A 35077-2024 karta.png", "A 35077-2024")</f>
        <v/>
      </c>
      <c r="Y35">
        <f>HYPERLINK("https://klasma.github.io/Logging_1764/kartor_geotiff/A 35077-2024 georefererad karta.tif", "A 35077-2024")</f>
        <v/>
      </c>
      <c r="Z35">
        <f>HYPERLINK("https://klasma.github.io/Logging_1764/knärot/A 35077-2024 karta knärot.png", "A 35077-2024")</f>
        <v/>
      </c>
      <c r="AA35">
        <f>HYPERLINK("https://klasma.github.io/Logging_1764/klagomål/A 35077-2024 FSC-klagomål.docx", "A 35077-2024")</f>
        <v/>
      </c>
      <c r="AB35">
        <f>HYPERLINK("https://klasma.github.io/Logging_1764/klagomålsmail/A 35077-2024 FSC-klagomål mail.docx", "A 35077-2024")</f>
        <v/>
      </c>
      <c r="AC35">
        <f>HYPERLINK("https://klasma.github.io/Logging_1764/tillsyn/A 35077-2024 tillsynsbegäran.docx", "A 35077-2024")</f>
        <v/>
      </c>
      <c r="AD35">
        <f>HYPERLINK("https://klasma.github.io/Logging_1764/tillsynsmail/A 35077-2024 tillsynsbegäran mail.docx", "A 35077-2024")</f>
        <v/>
      </c>
    </row>
    <row r="36" ht="15" customHeight="1">
      <c r="A36" t="inlineStr">
        <is>
          <t>A 13121-2023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45002</v>
      </c>
      <c r="E36" s="1" t="n">
        <v>46306</v>
      </c>
      <c r="F36" t="inlineStr">
        <is>
          <t>VÄRMLANDS LÄN</t>
        </is>
      </c>
      <c r="G36" t="inlineStr">
        <is>
          <t>GRUMS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HYPERLINK("https://klasma.github.io/Logging_1764/artfynd/A 13121-2023 artfynd.xlsx", "A 13121-2023")</f>
        <v/>
      </c>
      <c r="X36">
        <f>HYPERLINK("https://klasma.github.io/Logging_1764/kartor/A 13121-2023 karta.png", "A 13121-2023")</f>
        <v/>
      </c>
      <c r="Y36">
        <f>HYPERLINK("https://klasma.github.io/Logging_1764/kartor_geotiff/A 13121-2023 georefererad karta.tif", "A 13121-2023")</f>
        <v/>
      </c>
      <c r="AA36">
        <f>HYPERLINK("https://klasma.github.io/Logging_1764/klagomål/A 13121-2023 FSC-klagomål.docx", "A 13121-2023")</f>
        <v/>
      </c>
      <c r="AB36">
        <f>HYPERLINK("https://klasma.github.io/Logging_1764/klagomålsmail/A 13121-2023 FSC-klagomål mail.docx", "A 13121-2023")</f>
        <v/>
      </c>
      <c r="AC36">
        <f>HYPERLINK("https://klasma.github.io/Logging_1764/tillsyn/A 13121-2023 tillsynsbegäran.docx", "A 13121-2023")</f>
        <v/>
      </c>
      <c r="AD36">
        <f>HYPERLINK("https://klasma.github.io/Logging_1764/tillsynsmail/A 13121-2023 tillsynsbegäran mail.docx", "A 13121-2023")</f>
        <v/>
      </c>
    </row>
    <row r="37" ht="15" customHeight="1">
      <c r="A37" t="inlineStr">
        <is>
          <t>A 30411-2025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45827</v>
      </c>
      <c r="E37" s="1" t="n">
        <v>46306</v>
      </c>
      <c r="F37" t="inlineStr">
        <is>
          <t>VÄRMLANDS LÄN</t>
        </is>
      </c>
      <c r="G37" t="inlineStr">
        <is>
          <t>GRUMS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HYPERLINK("https://klasma.github.io/Logging_1764/artfynd/A 30411-2025 artfynd.xlsx", "A 30411-2025")</f>
        <v/>
      </c>
      <c r="X37">
        <f>HYPERLINK("https://klasma.github.io/Logging_1764/kartor/A 30411-2025 karta.png", "A 30411-2025")</f>
        <v/>
      </c>
      <c r="Y37">
        <f>HYPERLINK("https://klasma.github.io/Logging_1764/kartor_geotiff/A 30411-2025 georefererad karta.tif", "A 30411-2025")</f>
        <v/>
      </c>
      <c r="AA37">
        <f>HYPERLINK("https://klasma.github.io/Logging_1764/klagomål/A 30411-2025 FSC-klagomål.docx", "A 30411-2025")</f>
        <v/>
      </c>
      <c r="AB37">
        <f>HYPERLINK("https://klasma.github.io/Logging_1764/klagomålsmail/A 30411-2025 FSC-klagomål mail.docx", "A 30411-2025")</f>
        <v/>
      </c>
      <c r="AC37">
        <f>HYPERLINK("https://klasma.github.io/Logging_1764/tillsyn/A 30411-2025 tillsynsbegäran.docx", "A 30411-2025")</f>
        <v/>
      </c>
      <c r="AD37">
        <f>HYPERLINK("https://klasma.github.io/Logging_1764/tillsynsmail/A 30411-2025 tillsynsbegäran mail.docx", "A 30411-2025")</f>
        <v/>
      </c>
    </row>
    <row r="38" ht="15" customHeight="1">
      <c r="A38" t="inlineStr">
        <is>
          <t>A 12296-2026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46087</v>
      </c>
      <c r="E38" s="1" t="n">
        <v>46306</v>
      </c>
      <c r="F38" t="inlineStr">
        <is>
          <t>VÄRMLANDS LÄN</t>
        </is>
      </c>
      <c r="G38" t="inlineStr">
        <is>
          <t>GRUMS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HYPERLINK("https://klasma.github.io/Logging_1764/artfynd/A 12296-2026 artfynd.xlsx", "A 12296-2026")</f>
        <v/>
      </c>
      <c r="X38">
        <f>HYPERLINK("https://klasma.github.io/Logging_1764/kartor/A 12296-2026 karta.png", "A 12296-2026")</f>
        <v/>
      </c>
      <c r="Y38">
        <f>HYPERLINK("https://klasma.github.io/Logging_1764/kartor_geotiff/A 12296-2026 georefererad karta.tif", "A 12296-2026")</f>
        <v/>
      </c>
      <c r="AA38">
        <f>HYPERLINK("https://klasma.github.io/Logging_1764/klagomål/A 12296-2026 FSC-klagomål.docx", "A 12296-2026")</f>
        <v/>
      </c>
      <c r="AB38">
        <f>HYPERLINK("https://klasma.github.io/Logging_1764/klagomålsmail/A 12296-2026 FSC-klagomål mail.docx", "A 12296-2026")</f>
        <v/>
      </c>
      <c r="AC38">
        <f>HYPERLINK("https://klasma.github.io/Logging_1764/tillsyn/A 12296-2026 tillsynsbegäran.docx", "A 12296-2026")</f>
        <v/>
      </c>
      <c r="AD38">
        <f>HYPERLINK("https://klasma.github.io/Logging_1764/tillsynsmail/A 12296-2026 tillsynsbegäran mail.docx", "A 12296-2026")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46306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46306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7589-2022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44607</v>
      </c>
      <c r="E41" s="1" t="n">
        <v>46306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46306</v>
      </c>
      <c r="F42" t="inlineStr">
        <is>
          <t>VÄRMLANDS LÄN</t>
        </is>
      </c>
      <c r="G42" t="inlineStr">
        <is>
          <t>GRUMS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46306</v>
      </c>
      <c r="F43" t="inlineStr">
        <is>
          <t>VÄRMLANDS LÄN</t>
        </is>
      </c>
      <c r="G43" t="inlineStr">
        <is>
          <t>GRUMS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46306</v>
      </c>
      <c r="F44" t="inlineStr">
        <is>
          <t>VÄRMLANDS LÄN</t>
        </is>
      </c>
      <c r="G44" t="inlineStr">
        <is>
          <t>GRUMS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46306</v>
      </c>
      <c r="F45" t="inlineStr">
        <is>
          <t>VÄRMLANDS LÄN</t>
        </is>
      </c>
      <c r="G45" t="inlineStr">
        <is>
          <t>GRUMS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32443-2022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46306</v>
      </c>
      <c r="F46" t="inlineStr">
        <is>
          <t>VÄRMLANDS LÄN</t>
        </is>
      </c>
      <c r="G46" t="inlineStr">
        <is>
          <t>GRUMS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49116-2022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44860</v>
      </c>
      <c r="E47" s="1" t="n">
        <v>46306</v>
      </c>
      <c r="F47" t="inlineStr">
        <is>
          <t>VÄRMLANDS LÄN</t>
        </is>
      </c>
      <c r="G47" t="inlineStr">
        <is>
          <t>GRUMS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44494</v>
      </c>
      <c r="E48" s="1" t="n">
        <v>46306</v>
      </c>
      <c r="F48" t="inlineStr">
        <is>
          <t>VÄRMLANDS LÄN</t>
        </is>
      </c>
      <c r="G48" t="inlineStr">
        <is>
          <t>GRUMS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46306</v>
      </c>
      <c r="F49" t="inlineStr">
        <is>
          <t>VÄRMLANDS LÄN</t>
        </is>
      </c>
      <c r="G49" t="inlineStr">
        <is>
          <t>GRUMS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46306</v>
      </c>
      <c r="F50" t="inlineStr">
        <is>
          <t>VÄRMLANDS LÄN</t>
        </is>
      </c>
      <c r="G50" t="inlineStr">
        <is>
          <t>GRUMS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44690</v>
      </c>
      <c r="E51" s="1" t="n">
        <v>46306</v>
      </c>
      <c r="F51" t="inlineStr">
        <is>
          <t>VÄRMLANDS LÄN</t>
        </is>
      </c>
      <c r="G51" t="inlineStr">
        <is>
          <t>GRUMS</t>
        </is>
      </c>
      <c r="H51" t="inlineStr">
        <is>
          <t>Bergvik skog väst AB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46306</v>
      </c>
      <c r="F52" t="inlineStr">
        <is>
          <t>VÄRMLANDS LÄN</t>
        </is>
      </c>
      <c r="G52" t="inlineStr">
        <is>
          <t>GRUMS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19669-2022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44694</v>
      </c>
      <c r="E53" s="1" t="n">
        <v>46306</v>
      </c>
      <c r="F53" t="inlineStr">
        <is>
          <t>VÄRMLANDS LÄN</t>
        </is>
      </c>
      <c r="G53" t="inlineStr">
        <is>
          <t>GRUMS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27729-2022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46306</v>
      </c>
      <c r="F54" t="inlineStr">
        <is>
          <t>VÄRMLANDS LÄN</t>
        </is>
      </c>
      <c r="G54" t="inlineStr">
        <is>
          <t>GRUMS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46306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46306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10894-2022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44627</v>
      </c>
      <c r="E57" s="1" t="n">
        <v>46306</v>
      </c>
      <c r="F57" t="inlineStr">
        <is>
          <t>VÄRMLANDS LÄN</t>
        </is>
      </c>
      <c r="G57" t="inlineStr">
        <is>
          <t>GRUMS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35391-2022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44798</v>
      </c>
      <c r="E58" s="1" t="n">
        <v>46306</v>
      </c>
      <c r="F58" t="inlineStr">
        <is>
          <t>VÄRMLANDS LÄN</t>
        </is>
      </c>
      <c r="G58" t="inlineStr">
        <is>
          <t>GRUMS</t>
        </is>
      </c>
      <c r="H58" t="inlineStr">
        <is>
          <t>Bergvik skog väst AB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25694-2022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44732</v>
      </c>
      <c r="E59" s="1" t="n">
        <v>46306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44577</v>
      </c>
      <c r="E60" s="1" t="n">
        <v>46306</v>
      </c>
      <c r="F60" t="inlineStr">
        <is>
          <t>VÄRMLANDS LÄN</t>
        </is>
      </c>
      <c r="G60" t="inlineStr">
        <is>
          <t>GRUMS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46306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44762</v>
      </c>
      <c r="E62" s="1" t="n">
        <v>46306</v>
      </c>
      <c r="F62" t="inlineStr">
        <is>
          <t>VÄRMLANDS LÄN</t>
        </is>
      </c>
      <c r="G62" t="inlineStr">
        <is>
          <t>GRUMS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46306</v>
      </c>
      <c r="F63" t="inlineStr">
        <is>
          <t>VÄRMLANDS LÄN</t>
        </is>
      </c>
      <c r="G63" t="inlineStr">
        <is>
          <t>GRUMS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44620</v>
      </c>
      <c r="E64" s="1" t="n">
        <v>46306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46306</v>
      </c>
      <c r="F65" t="inlineStr">
        <is>
          <t>VÄRMLANDS LÄN</t>
        </is>
      </c>
      <c r="G65" t="inlineStr">
        <is>
          <t>GRUMS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46306</v>
      </c>
      <c r="F66" t="inlineStr">
        <is>
          <t>VÄRMLANDS LÄN</t>
        </is>
      </c>
      <c r="G66" t="inlineStr">
        <is>
          <t>GRUMS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12311-2024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45378</v>
      </c>
      <c r="E67" s="1" t="n">
        <v>46306</v>
      </c>
      <c r="F67" t="inlineStr">
        <is>
          <t>VÄRMLANDS LÄN</t>
        </is>
      </c>
      <c r="G67" t="inlineStr">
        <is>
          <t>GRUMS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44755</v>
      </c>
      <c r="E68" s="1" t="n">
        <v>46306</v>
      </c>
      <c r="F68" t="inlineStr">
        <is>
          <t>VÄRMLANDS LÄN</t>
        </is>
      </c>
      <c r="G68" t="inlineStr">
        <is>
          <t>GRUMS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44760</v>
      </c>
      <c r="E69" s="1" t="n">
        <v>46306</v>
      </c>
      <c r="F69" t="inlineStr">
        <is>
          <t>VÄRMLANDS LÄN</t>
        </is>
      </c>
      <c r="G69" t="inlineStr">
        <is>
          <t>GRUMS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73306-2021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44547</v>
      </c>
      <c r="E70" s="1" t="n">
        <v>46306</v>
      </c>
      <c r="F70" t="inlineStr">
        <is>
          <t>VÄRMLANDS LÄN</t>
        </is>
      </c>
      <c r="G70" t="inlineStr">
        <is>
          <t>GRUMS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37486-2022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46306</v>
      </c>
      <c r="F71" t="inlineStr">
        <is>
          <t>VÄRMLANDS LÄN</t>
        </is>
      </c>
      <c r="G71" t="inlineStr">
        <is>
          <t>GRUMS</t>
        </is>
      </c>
      <c r="I71" t="n">
        <v>8.6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27222-2023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45096</v>
      </c>
      <c r="E72" s="1" t="n">
        <v>46306</v>
      </c>
      <c r="F72" t="inlineStr">
        <is>
          <t>VÄRMLANDS LÄN</t>
        </is>
      </c>
      <c r="G72" t="inlineStr">
        <is>
          <t>GRUMS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18341-2025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45762</v>
      </c>
      <c r="E73" s="1" t="n">
        <v>46306</v>
      </c>
      <c r="F73" t="inlineStr">
        <is>
          <t>VÄRMLANDS LÄN</t>
        </is>
      </c>
      <c r="G73" t="inlineStr">
        <is>
          <t>GRUMS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45761</v>
      </c>
      <c r="E74" s="1" t="n">
        <v>46306</v>
      </c>
      <c r="F74" t="inlineStr">
        <is>
          <t>VÄRMLANDS LÄN</t>
        </is>
      </c>
      <c r="G74" t="inlineStr">
        <is>
          <t>GRUMS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62896-2023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45272</v>
      </c>
      <c r="E75" s="1" t="n">
        <v>46306</v>
      </c>
      <c r="F75" t="inlineStr">
        <is>
          <t>VÄRMLANDS LÄN</t>
        </is>
      </c>
      <c r="G75" t="inlineStr">
        <is>
          <t>GRUMS</t>
        </is>
      </c>
      <c r="I75" t="n">
        <v>13.8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20238-2024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45434</v>
      </c>
      <c r="E76" s="1" t="n">
        <v>46306</v>
      </c>
      <c r="F76" t="inlineStr">
        <is>
          <t>VÄRMLANDS LÄN</t>
        </is>
      </c>
      <c r="G76" t="inlineStr">
        <is>
          <t>GRUMS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6938-2024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45343</v>
      </c>
      <c r="E77" s="1" t="n">
        <v>46306</v>
      </c>
      <c r="F77" t="inlineStr">
        <is>
          <t>VÄRMLANDS LÄN</t>
        </is>
      </c>
      <c r="G77" t="inlineStr">
        <is>
          <t>GRUMS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19753-2024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45432</v>
      </c>
      <c r="E78" s="1" t="n">
        <v>46306</v>
      </c>
      <c r="F78" t="inlineStr">
        <is>
          <t>VÄRMLANDS LÄN</t>
        </is>
      </c>
      <c r="G78" t="inlineStr">
        <is>
          <t>GRUMS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45441</v>
      </c>
      <c r="E79" s="1" t="n">
        <v>46306</v>
      </c>
      <c r="F79" t="inlineStr">
        <is>
          <t>VÄRMLANDS LÄN</t>
        </is>
      </c>
      <c r="G79" t="inlineStr">
        <is>
          <t>GRUMS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26829-2023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45093</v>
      </c>
      <c r="E80" s="1" t="n">
        <v>46306</v>
      </c>
      <c r="F80" t="inlineStr">
        <is>
          <t>VÄRMLANDS LÄN</t>
        </is>
      </c>
      <c r="G80" t="inlineStr">
        <is>
          <t>GRUMS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19053-2024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45427</v>
      </c>
      <c r="E81" s="1" t="n">
        <v>46306</v>
      </c>
      <c r="F81" t="inlineStr">
        <is>
          <t>VÄRMLANDS LÄN</t>
        </is>
      </c>
      <c r="G81" t="inlineStr">
        <is>
          <t>GRUMS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45391</v>
      </c>
      <c r="E82" s="1" t="n">
        <v>46306</v>
      </c>
      <c r="F82" t="inlineStr">
        <is>
          <t>VÄRMLANDS LÄN</t>
        </is>
      </c>
      <c r="G82" t="inlineStr">
        <is>
          <t>GRUMS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46306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46306</v>
      </c>
      <c r="F84" t="inlineStr">
        <is>
          <t>VÄRMLANDS LÄN</t>
        </is>
      </c>
      <c r="G84" t="inlineStr">
        <is>
          <t>GRUMS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45757</v>
      </c>
      <c r="E85" s="1" t="n">
        <v>46306</v>
      </c>
      <c r="F85" t="inlineStr">
        <is>
          <t>VÄRMLANDS LÄN</t>
        </is>
      </c>
      <c r="G85" t="inlineStr">
        <is>
          <t>GRUMS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25443-2023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45089</v>
      </c>
      <c r="E86" s="1" t="n">
        <v>46306</v>
      </c>
      <c r="F86" t="inlineStr">
        <is>
          <t>VÄRMLANDS LÄN</t>
        </is>
      </c>
      <c r="G86" t="inlineStr">
        <is>
          <t>GRUMS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42557-2022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46306</v>
      </c>
      <c r="F87" t="inlineStr">
        <is>
          <t>VÄRMLANDS LÄN</t>
        </is>
      </c>
      <c r="G87" t="inlineStr">
        <is>
          <t>GRUMS</t>
        </is>
      </c>
      <c r="I87" t="n">
        <v>13.7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45450</v>
      </c>
      <c r="E88" s="1" t="n">
        <v>46306</v>
      </c>
      <c r="F88" t="inlineStr">
        <is>
          <t>VÄRMLANDS LÄN</t>
        </is>
      </c>
      <c r="G88" t="inlineStr">
        <is>
          <t>GRUMS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55227-2023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46306</v>
      </c>
      <c r="F89" t="inlineStr">
        <is>
          <t>VÄRMLANDS LÄN</t>
        </is>
      </c>
      <c r="G89" t="inlineStr">
        <is>
          <t>GRUMS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44984</v>
      </c>
      <c r="E90" s="1" t="n">
        <v>46306</v>
      </c>
      <c r="F90" t="inlineStr">
        <is>
          <t>VÄRMLANDS LÄN</t>
        </is>
      </c>
      <c r="G90" t="inlineStr">
        <is>
          <t>GRUMS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14306-2023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45011</v>
      </c>
      <c r="E91" s="1" t="n">
        <v>46306</v>
      </c>
      <c r="F91" t="inlineStr">
        <is>
          <t>VÄRMLANDS LÄN</t>
        </is>
      </c>
      <c r="G91" t="inlineStr">
        <is>
          <t>GRUMS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45670</v>
      </c>
      <c r="E92" s="1" t="n">
        <v>46306</v>
      </c>
      <c r="F92" t="inlineStr">
        <is>
          <t>VÄRMLANDS LÄN</t>
        </is>
      </c>
      <c r="G92" t="inlineStr">
        <is>
          <t>GRUMS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13382-2024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45387</v>
      </c>
      <c r="E93" s="1" t="n">
        <v>46306</v>
      </c>
      <c r="F93" t="inlineStr">
        <is>
          <t>VÄRMLANDS LÄN</t>
        </is>
      </c>
      <c r="G93" t="inlineStr">
        <is>
          <t>GRUMS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73033-2021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46306</v>
      </c>
      <c r="F94" t="inlineStr">
        <is>
          <t>VÄRMLANDS LÄN</t>
        </is>
      </c>
      <c r="G94" t="inlineStr">
        <is>
          <t>GRUMS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46306</v>
      </c>
      <c r="F95" t="inlineStr">
        <is>
          <t>VÄRMLANDS LÄN</t>
        </is>
      </c>
      <c r="G95" t="inlineStr">
        <is>
          <t>GRUMS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31974-2023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46306</v>
      </c>
      <c r="F96" t="inlineStr">
        <is>
          <t>VÄRMLANDS LÄN</t>
        </is>
      </c>
      <c r="G96" t="inlineStr">
        <is>
          <t>GRUMS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45336</v>
      </c>
      <c r="E97" s="1" t="n">
        <v>46306</v>
      </c>
      <c r="F97" t="inlineStr">
        <is>
          <t>VÄRMLANDS LÄN</t>
        </is>
      </c>
      <c r="G97" t="inlineStr">
        <is>
          <t>GRUMS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25840-2024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45467</v>
      </c>
      <c r="E98" s="1" t="n">
        <v>46306</v>
      </c>
      <c r="F98" t="inlineStr">
        <is>
          <t>VÄRMLANDS LÄN</t>
        </is>
      </c>
      <c r="G98" t="inlineStr">
        <is>
          <t>GRUMS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45477</v>
      </c>
      <c r="E99" s="1" t="n">
        <v>46306</v>
      </c>
      <c r="F99" t="inlineStr">
        <is>
          <t>VÄRMLANDS LÄN</t>
        </is>
      </c>
      <c r="G99" t="inlineStr">
        <is>
          <t>GRUMS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64304-2023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45280</v>
      </c>
      <c r="E100" s="1" t="n">
        <v>46306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45461</v>
      </c>
      <c r="E101" s="1" t="n">
        <v>46306</v>
      </c>
      <c r="F101" t="inlineStr">
        <is>
          <t>VÄRMLANDS LÄN</t>
        </is>
      </c>
      <c r="G101" t="inlineStr">
        <is>
          <t>GRUMS</t>
        </is>
      </c>
      <c r="I101" t="n">
        <v>12.8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45310</v>
      </c>
      <c r="E102" s="1" t="n">
        <v>46306</v>
      </c>
      <c r="F102" t="inlineStr">
        <is>
          <t>VÄRMLANDS LÄN</t>
        </is>
      </c>
      <c r="G102" t="inlineStr">
        <is>
          <t>GRUMS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45329</v>
      </c>
      <c r="E103" s="1" t="n">
        <v>46306</v>
      </c>
      <c r="F103" t="inlineStr">
        <is>
          <t>VÄRMLANDS LÄN</t>
        </is>
      </c>
      <c r="G103" t="inlineStr">
        <is>
          <t>GRUMS</t>
        </is>
      </c>
      <c r="I103" t="n">
        <v>8.4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17081-2024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45412</v>
      </c>
      <c r="E104" s="1" t="n">
        <v>46306</v>
      </c>
      <c r="F104" t="inlineStr">
        <is>
          <t>VÄRMLANDS LÄN</t>
        </is>
      </c>
      <c r="G104" t="inlineStr">
        <is>
          <t>GRUMS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62682-2023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45271</v>
      </c>
      <c r="E105" s="1" t="n">
        <v>46306</v>
      </c>
      <c r="F105" t="inlineStr">
        <is>
          <t>VÄRMLANDS LÄN</t>
        </is>
      </c>
      <c r="G105" t="inlineStr">
        <is>
          <t>GRUMS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69847-2021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44532</v>
      </c>
      <c r="E106" s="1" t="n">
        <v>46306</v>
      </c>
      <c r="F106" t="inlineStr">
        <is>
          <t>VÄRMLANDS LÄN</t>
        </is>
      </c>
      <c r="G106" t="inlineStr">
        <is>
          <t>GRUMS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58514-2022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44902</v>
      </c>
      <c r="E107" s="1" t="n">
        <v>46306</v>
      </c>
      <c r="F107" t="inlineStr">
        <is>
          <t>VÄRMLANDS LÄN</t>
        </is>
      </c>
      <c r="G107" t="inlineStr">
        <is>
          <t>GRUMS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45708</v>
      </c>
      <c r="E108" s="1" t="n">
        <v>46306</v>
      </c>
      <c r="F108" t="inlineStr">
        <is>
          <t>VÄRMLANDS LÄN</t>
        </is>
      </c>
      <c r="G108" t="inlineStr">
        <is>
          <t>GRUMS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71706-2021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44543</v>
      </c>
      <c r="E109" s="1" t="n">
        <v>46306</v>
      </c>
      <c r="F109" t="inlineStr">
        <is>
          <t>VÄRMLANDS LÄN</t>
        </is>
      </c>
      <c r="G109" t="inlineStr">
        <is>
          <t>GRUMS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46306</v>
      </c>
      <c r="F110" t="inlineStr">
        <is>
          <t>VÄRMLANDS LÄN</t>
        </is>
      </c>
      <c r="G110" t="inlineStr">
        <is>
          <t>GRUMS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73310-2021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44547</v>
      </c>
      <c r="E111" s="1" t="n">
        <v>46306</v>
      </c>
      <c r="F111" t="inlineStr">
        <is>
          <t>VÄRMLANDS LÄN</t>
        </is>
      </c>
      <c r="G111" t="inlineStr">
        <is>
          <t>GRUMS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17573-2025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45757</v>
      </c>
      <c r="E112" s="1" t="n">
        <v>46306</v>
      </c>
      <c r="F112" t="inlineStr">
        <is>
          <t>VÄRMLANDS LÄN</t>
        </is>
      </c>
      <c r="G112" t="inlineStr">
        <is>
          <t>GRUMS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45467-2022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46306</v>
      </c>
      <c r="F113" t="inlineStr">
        <is>
          <t>VÄRMLANDS LÄN</t>
        </is>
      </c>
      <c r="G113" t="inlineStr">
        <is>
          <t>GRUMS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46306</v>
      </c>
      <c r="F114" t="inlineStr">
        <is>
          <t>VÄRMLANDS LÄN</t>
        </is>
      </c>
      <c r="G114" t="inlineStr">
        <is>
          <t>GRUMS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46306</v>
      </c>
      <c r="F115" t="inlineStr">
        <is>
          <t>VÄRMLANDS LÄN</t>
        </is>
      </c>
      <c r="G115" t="inlineStr">
        <is>
          <t>GRUMS</t>
        </is>
      </c>
      <c r="H115" t="inlineStr">
        <is>
          <t>Bergvik skog väst AB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44048-2023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45188</v>
      </c>
      <c r="E116" s="1" t="n">
        <v>46306</v>
      </c>
      <c r="F116" t="inlineStr">
        <is>
          <t>VÄRMLANDS LÄN</t>
        </is>
      </c>
      <c r="G116" t="inlineStr">
        <is>
          <t>GRUMS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30914-2023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45113</v>
      </c>
      <c r="E117" s="1" t="n">
        <v>46306</v>
      </c>
      <c r="F117" t="inlineStr">
        <is>
          <t>VÄRMLANDS LÄN</t>
        </is>
      </c>
      <c r="G117" t="inlineStr">
        <is>
          <t>GRUMS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45153</v>
      </c>
      <c r="E118" s="1" t="n">
        <v>46306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45916</v>
      </c>
      <c r="E119" s="1" t="n">
        <v>46306</v>
      </c>
      <c r="F119" t="inlineStr">
        <is>
          <t>VÄRMLANDS LÄN</t>
        </is>
      </c>
      <c r="G119" t="inlineStr">
        <is>
          <t>GRUMS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44608</v>
      </c>
      <c r="E120" s="1" t="n">
        <v>46306</v>
      </c>
      <c r="F120" t="inlineStr">
        <is>
          <t>VÄRMLANDS LÄN</t>
        </is>
      </c>
      <c r="G120" t="inlineStr">
        <is>
          <t>GRUMS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46306</v>
      </c>
      <c r="F121" t="inlineStr">
        <is>
          <t>VÄRMLANDS LÄN</t>
        </is>
      </c>
      <c r="G121" t="inlineStr">
        <is>
          <t>GRUMS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44977</v>
      </c>
      <c r="E122" s="1" t="n">
        <v>46306</v>
      </c>
      <c r="F122" t="inlineStr">
        <is>
          <t>VÄRMLANDS LÄN</t>
        </is>
      </c>
      <c r="G122" t="inlineStr">
        <is>
          <t>GRUMS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12217-2025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45729</v>
      </c>
      <c r="E123" s="1" t="n">
        <v>46306</v>
      </c>
      <c r="F123" t="inlineStr">
        <is>
          <t>VÄRMLANDS LÄN</t>
        </is>
      </c>
      <c r="G123" t="inlineStr">
        <is>
          <t>GRUMS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45411</v>
      </c>
      <c r="E124" s="1" t="n">
        <v>46306</v>
      </c>
      <c r="F124" t="inlineStr">
        <is>
          <t>VÄRMLANDS LÄN</t>
        </is>
      </c>
      <c r="G124" t="inlineStr">
        <is>
          <t>GRUMS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62905-2023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45272</v>
      </c>
      <c r="E125" s="1" t="n">
        <v>46306</v>
      </c>
      <c r="F125" t="inlineStr">
        <is>
          <t>VÄRMLANDS LÄN</t>
        </is>
      </c>
      <c r="G125" t="inlineStr">
        <is>
          <t>GRUMS</t>
        </is>
      </c>
      <c r="I125" t="n">
        <v>13.8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5126-2023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44958</v>
      </c>
      <c r="E126" s="1" t="n">
        <v>46306</v>
      </c>
      <c r="F126" t="inlineStr">
        <is>
          <t>VÄRMLANDS LÄN</t>
        </is>
      </c>
      <c r="G126" t="inlineStr">
        <is>
          <t>GRUMS</t>
        </is>
      </c>
      <c r="I126" t="n">
        <v>14.3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46306</v>
      </c>
      <c r="F127" t="inlineStr">
        <is>
          <t>VÄRMLANDS LÄN</t>
        </is>
      </c>
      <c r="G127" t="inlineStr">
        <is>
          <t>GRUMS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66056-2021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44517</v>
      </c>
      <c r="E128" s="1" t="n">
        <v>46306</v>
      </c>
      <c r="F128" t="inlineStr">
        <is>
          <t>VÄRMLANDS LÄN</t>
        </is>
      </c>
      <c r="G128" t="inlineStr">
        <is>
          <t>GRUMS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44627</v>
      </c>
      <c r="E129" s="1" t="n">
        <v>46306</v>
      </c>
      <c r="F129" t="inlineStr">
        <is>
          <t>VÄRMLANDS LÄN</t>
        </is>
      </c>
      <c r="G129" t="inlineStr">
        <is>
          <t>GRUMS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22537-2025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45787</v>
      </c>
      <c r="E130" s="1" t="n">
        <v>46306</v>
      </c>
      <c r="F130" t="inlineStr">
        <is>
          <t>VÄRMLANDS LÄN</t>
        </is>
      </c>
      <c r="G130" t="inlineStr">
        <is>
          <t>GRUMS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45316</v>
      </c>
      <c r="E131" s="1" t="n">
        <v>46306</v>
      </c>
      <c r="F131" t="inlineStr">
        <is>
          <t>VÄRMLANDS LÄN</t>
        </is>
      </c>
      <c r="G131" t="inlineStr">
        <is>
          <t>GRUMS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12082-2024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45377</v>
      </c>
      <c r="E132" s="1" t="n">
        <v>46306</v>
      </c>
      <c r="F132" t="inlineStr">
        <is>
          <t>VÄRMLANDS LÄN</t>
        </is>
      </c>
      <c r="G132" t="inlineStr">
        <is>
          <t>GRUMS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45377</v>
      </c>
      <c r="E133" s="1" t="n">
        <v>46306</v>
      </c>
      <c r="F133" t="inlineStr">
        <is>
          <t>VÄRMLANDS LÄN</t>
        </is>
      </c>
      <c r="G133" t="inlineStr">
        <is>
          <t>GRUMS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31362-2024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45505</v>
      </c>
      <c r="E134" s="1" t="n">
        <v>46306</v>
      </c>
      <c r="F134" t="inlineStr">
        <is>
          <t>VÄRMLANDS LÄN</t>
        </is>
      </c>
      <c r="G134" t="inlineStr">
        <is>
          <t>GRUMS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20954-2023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45061</v>
      </c>
      <c r="E135" s="1" t="n">
        <v>46306</v>
      </c>
      <c r="F135" t="inlineStr">
        <is>
          <t>VÄRMLANDS LÄN</t>
        </is>
      </c>
      <c r="G135" t="inlineStr">
        <is>
          <t>GRUMS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45757</v>
      </c>
      <c r="E136" s="1" t="n">
        <v>46306</v>
      </c>
      <c r="F136" t="inlineStr">
        <is>
          <t>VÄRMLANDS LÄN</t>
        </is>
      </c>
      <c r="G136" t="inlineStr">
        <is>
          <t>GRUMS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62557-2022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44924</v>
      </c>
      <c r="E137" s="1" t="n">
        <v>46306</v>
      </c>
      <c r="F137" t="inlineStr">
        <is>
          <t>VÄRMLANDS LÄN</t>
        </is>
      </c>
      <c r="G137" t="inlineStr">
        <is>
          <t>GRUMS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7991-2024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45350</v>
      </c>
      <c r="E138" s="1" t="n">
        <v>46306</v>
      </c>
      <c r="F138" t="inlineStr">
        <is>
          <t>VÄRMLANDS LÄN</t>
        </is>
      </c>
      <c r="G138" t="inlineStr">
        <is>
          <t>GRUMS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45735</v>
      </c>
      <c r="E139" s="1" t="n">
        <v>46306</v>
      </c>
      <c r="F139" t="inlineStr">
        <is>
          <t>VÄRMLANDS LÄN</t>
        </is>
      </c>
      <c r="G139" t="inlineStr">
        <is>
          <t>GRUMS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46306</v>
      </c>
      <c r="F140" t="inlineStr">
        <is>
          <t>VÄRMLANDS LÄN</t>
        </is>
      </c>
      <c r="G140" t="inlineStr">
        <is>
          <t>GRUMS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5810-2023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44963</v>
      </c>
      <c r="E141" s="1" t="n">
        <v>46306</v>
      </c>
      <c r="F141" t="inlineStr">
        <is>
          <t>VÄRMLANDS LÄN</t>
        </is>
      </c>
      <c r="G141" t="inlineStr">
        <is>
          <t>GRUMS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20369-2024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46306</v>
      </c>
      <c r="F142" t="inlineStr">
        <is>
          <t>VÄRMLANDS LÄN</t>
        </is>
      </c>
      <c r="G142" t="inlineStr">
        <is>
          <t>GRUMS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45727</v>
      </c>
      <c r="E143" s="1" t="n">
        <v>46306</v>
      </c>
      <c r="F143" t="inlineStr">
        <is>
          <t>VÄRMLANDS LÄN</t>
        </is>
      </c>
      <c r="G143" t="inlineStr">
        <is>
          <t>GRUMS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4976-2024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45329</v>
      </c>
      <c r="E144" s="1" t="n">
        <v>46306</v>
      </c>
      <c r="F144" t="inlineStr">
        <is>
          <t>VÄRMLANDS LÄN</t>
        </is>
      </c>
      <c r="G144" t="inlineStr">
        <is>
          <t>GRUMS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12175-2024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45377</v>
      </c>
      <c r="E145" s="1" t="n">
        <v>46306</v>
      </c>
      <c r="F145" t="inlineStr">
        <is>
          <t>VÄRMLANDS LÄN</t>
        </is>
      </c>
      <c r="G145" t="inlineStr">
        <is>
          <t>GRUMS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30527-2022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44762</v>
      </c>
      <c r="E146" s="1" t="n">
        <v>46306</v>
      </c>
      <c r="F146" t="inlineStr">
        <is>
          <t>VÄRMLANDS LÄN</t>
        </is>
      </c>
      <c r="G146" t="inlineStr">
        <is>
          <t>GRUMS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44956</v>
      </c>
      <c r="E147" s="1" t="n">
        <v>46306</v>
      </c>
      <c r="F147" t="inlineStr">
        <is>
          <t>VÄRMLANDS LÄN</t>
        </is>
      </c>
      <c r="G147" t="inlineStr">
        <is>
          <t>GRUMS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46306</v>
      </c>
      <c r="F148" t="inlineStr">
        <is>
          <t>VÄRMLANDS LÄN</t>
        </is>
      </c>
      <c r="G148" t="inlineStr">
        <is>
          <t>GRUMS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62947-2023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45272</v>
      </c>
      <c r="E149" s="1" t="n">
        <v>46306</v>
      </c>
      <c r="F149" t="inlineStr">
        <is>
          <t>VÄRMLANDS LÄN</t>
        </is>
      </c>
      <c r="G149" t="inlineStr">
        <is>
          <t>GRUMS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45070</v>
      </c>
      <c r="E150" s="1" t="n">
        <v>46306</v>
      </c>
      <c r="F150" t="inlineStr">
        <is>
          <t>VÄRMLANDS LÄN</t>
        </is>
      </c>
      <c r="G150" t="inlineStr">
        <is>
          <t>GRUMS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36420-2023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45152</v>
      </c>
      <c r="E151" s="1" t="n">
        <v>46306</v>
      </c>
      <c r="F151" t="inlineStr">
        <is>
          <t>VÄRMLANDS LÄN</t>
        </is>
      </c>
      <c r="G151" t="inlineStr">
        <is>
          <t>GRUMS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45939</v>
      </c>
      <c r="E152" s="1" t="n">
        <v>46306</v>
      </c>
      <c r="F152" t="inlineStr">
        <is>
          <t>VÄRMLANDS LÄN</t>
        </is>
      </c>
      <c r="G152" t="inlineStr">
        <is>
          <t>GRUMS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56220-2023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45240</v>
      </c>
      <c r="E153" s="1" t="n">
        <v>46306</v>
      </c>
      <c r="F153" t="inlineStr">
        <is>
          <t>VÄRMLANDS LÄN</t>
        </is>
      </c>
      <c r="G153" t="inlineStr">
        <is>
          <t>GRUMS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46306</v>
      </c>
      <c r="F154" t="inlineStr">
        <is>
          <t>VÄRMLANDS LÄN</t>
        </is>
      </c>
      <c r="G154" t="inlineStr">
        <is>
          <t>GRUMS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44785</v>
      </c>
      <c r="E155" s="1" t="n">
        <v>46306</v>
      </c>
      <c r="F155" t="inlineStr">
        <is>
          <t>VÄRMLANDS LÄN</t>
        </is>
      </c>
      <c r="G155" t="inlineStr">
        <is>
          <t>GRUMS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17399-2025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45757</v>
      </c>
      <c r="E156" s="1" t="n">
        <v>46306</v>
      </c>
      <c r="F156" t="inlineStr">
        <is>
          <t>VÄRMLANDS LÄN</t>
        </is>
      </c>
      <c r="G156" t="inlineStr">
        <is>
          <t>GRUMS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51509-2025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45950</v>
      </c>
      <c r="E157" s="1" t="n">
        <v>46306</v>
      </c>
      <c r="F157" t="inlineStr">
        <is>
          <t>VÄRMLANDS LÄN</t>
        </is>
      </c>
      <c r="G157" t="inlineStr">
        <is>
          <t>GRUMS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56219-2023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46306</v>
      </c>
      <c r="F158" t="inlineStr">
        <is>
          <t>VÄRMLANDS LÄN</t>
        </is>
      </c>
      <c r="G158" t="inlineStr">
        <is>
          <t>GRUMS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46306</v>
      </c>
      <c r="F159" t="inlineStr">
        <is>
          <t>VÄRMLANDS LÄN</t>
        </is>
      </c>
      <c r="G159" t="inlineStr">
        <is>
          <t>GRUMS</t>
        </is>
      </c>
      <c r="H159" t="inlineStr">
        <is>
          <t>Bergvik skog väst AB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46306</v>
      </c>
      <c r="F160" t="inlineStr">
        <is>
          <t>VÄRMLANDS LÄN</t>
        </is>
      </c>
      <c r="G160" t="inlineStr">
        <is>
          <t>GRUMS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45757</v>
      </c>
      <c r="E161" s="1" t="n">
        <v>46306</v>
      </c>
      <c r="F161" t="inlineStr">
        <is>
          <t>VÄRMLANDS LÄN</t>
        </is>
      </c>
      <c r="G161" t="inlineStr">
        <is>
          <t>GRUMS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29762-2023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46306</v>
      </c>
      <c r="F162" t="inlineStr">
        <is>
          <t>VÄRMLANDS LÄN</t>
        </is>
      </c>
      <c r="G162" t="inlineStr">
        <is>
          <t>GRUMS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5841-2022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46306</v>
      </c>
      <c r="F163" t="inlineStr">
        <is>
          <t>VÄRMLANDS LÄN</t>
        </is>
      </c>
      <c r="G163" t="inlineStr">
        <is>
          <t>GRUMS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44635</v>
      </c>
      <c r="E164" s="1" t="n">
        <v>46306</v>
      </c>
      <c r="F164" t="inlineStr">
        <is>
          <t>VÄRMLANDS LÄN</t>
        </is>
      </c>
      <c r="G164" t="inlineStr">
        <is>
          <t>GRUMS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30563-2025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46306</v>
      </c>
      <c r="F165" t="inlineStr">
        <is>
          <t>VÄRMLANDS LÄN</t>
        </is>
      </c>
      <c r="G165" t="inlineStr">
        <is>
          <t>GRUMS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40935-2022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44823</v>
      </c>
      <c r="E166" s="1" t="n">
        <v>46306</v>
      </c>
      <c r="F166" t="inlineStr">
        <is>
          <t>VÄRMLANDS LÄN</t>
        </is>
      </c>
      <c r="G166" t="inlineStr">
        <is>
          <t>GRUMS</t>
        </is>
      </c>
      <c r="H166" t="inlineStr">
        <is>
          <t>Bergvik skog väst AB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45153</v>
      </c>
      <c r="E167" s="1" t="n">
        <v>46306</v>
      </c>
      <c r="F167" t="inlineStr">
        <is>
          <t>VÄRMLANDS LÄN</t>
        </is>
      </c>
      <c r="G167" t="inlineStr">
        <is>
          <t>GRUMS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52700-2025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45956</v>
      </c>
      <c r="E168" s="1" t="n">
        <v>46306</v>
      </c>
      <c r="F168" t="inlineStr">
        <is>
          <t>VÄRMLANDS LÄN</t>
        </is>
      </c>
      <c r="G168" t="inlineStr">
        <is>
          <t>GRUMS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45956</v>
      </c>
      <c r="E169" s="1" t="n">
        <v>46306</v>
      </c>
      <c r="F169" t="inlineStr">
        <is>
          <t>VÄRMLANDS LÄN</t>
        </is>
      </c>
      <c r="G169" t="inlineStr">
        <is>
          <t>GRUMS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29736-2023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45107</v>
      </c>
      <c r="E170" s="1" t="n">
        <v>46306</v>
      </c>
      <c r="F170" t="inlineStr">
        <is>
          <t>VÄRMLANDS LÄN</t>
        </is>
      </c>
      <c r="G170" t="inlineStr">
        <is>
          <t>GRUMS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45836</v>
      </c>
      <c r="E171" s="1" t="n">
        <v>46306</v>
      </c>
      <c r="F171" t="inlineStr">
        <is>
          <t>VÄRMLANDS LÄN</t>
        </is>
      </c>
      <c r="G171" t="inlineStr">
        <is>
          <t>GRUMS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29724-2023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45107</v>
      </c>
      <c r="E172" s="1" t="n">
        <v>46306</v>
      </c>
      <c r="F172" t="inlineStr">
        <is>
          <t>VÄRMLANDS LÄN</t>
        </is>
      </c>
      <c r="G172" t="inlineStr">
        <is>
          <t>GRUMS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45708</v>
      </c>
      <c r="E173" s="1" t="n">
        <v>46306</v>
      </c>
      <c r="F173" t="inlineStr">
        <is>
          <t>VÄRMLANDS LÄN</t>
        </is>
      </c>
      <c r="G173" t="inlineStr">
        <is>
          <t>GRUMS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45665</v>
      </c>
      <c r="E174" s="1" t="n">
        <v>46306</v>
      </c>
      <c r="F174" t="inlineStr">
        <is>
          <t>VÄRMLANDS LÄN</t>
        </is>
      </c>
      <c r="G174" t="inlineStr">
        <is>
          <t>GRUMS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44861</v>
      </c>
      <c r="E175" s="1" t="n">
        <v>46306</v>
      </c>
      <c r="F175" t="inlineStr">
        <is>
          <t>VÄRMLANDS LÄN</t>
        </is>
      </c>
      <c r="G175" t="inlineStr">
        <is>
          <t>GRUMS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45217</v>
      </c>
      <c r="E176" s="1" t="n">
        <v>46306</v>
      </c>
      <c r="F176" t="inlineStr">
        <is>
          <t>VÄRMLANDS LÄN</t>
        </is>
      </c>
      <c r="G176" t="inlineStr">
        <is>
          <t>GRUMS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45419</v>
      </c>
      <c r="E177" s="1" t="n">
        <v>46306</v>
      </c>
      <c r="F177" t="inlineStr">
        <is>
          <t>VÄRMLANDS LÄN</t>
        </is>
      </c>
      <c r="G177" t="inlineStr">
        <is>
          <t>GRUMS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16635-2024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45408</v>
      </c>
      <c r="E178" s="1" t="n">
        <v>46306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37676-2023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45159</v>
      </c>
      <c r="E179" s="1" t="n">
        <v>46306</v>
      </c>
      <c r="F179" t="inlineStr">
        <is>
          <t>VÄRMLANDS LÄN</t>
        </is>
      </c>
      <c r="G179" t="inlineStr">
        <is>
          <t>GRUMS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45708</v>
      </c>
      <c r="E180" s="1" t="n">
        <v>46306</v>
      </c>
      <c r="F180" t="inlineStr">
        <is>
          <t>VÄRMLANDS LÄN</t>
        </is>
      </c>
      <c r="G180" t="inlineStr">
        <is>
          <t>GRUMS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45708</v>
      </c>
      <c r="E181" s="1" t="n">
        <v>46306</v>
      </c>
      <c r="F181" t="inlineStr">
        <is>
          <t>VÄRMLANDS LÄN</t>
        </is>
      </c>
      <c r="G181" t="inlineStr">
        <is>
          <t>GRUMS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31964-2023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45107</v>
      </c>
      <c r="E182" s="1" t="n">
        <v>46306</v>
      </c>
      <c r="F182" t="inlineStr">
        <is>
          <t>VÄRMLANDS LÄN</t>
        </is>
      </c>
      <c r="G182" t="inlineStr">
        <is>
          <t>GRUMS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35253-2022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44797</v>
      </c>
      <c r="E183" s="1" t="n">
        <v>46306</v>
      </c>
      <c r="F183" t="inlineStr">
        <is>
          <t>VÄRMLANDS LÄN</t>
        </is>
      </c>
      <c r="G183" t="inlineStr">
        <is>
          <t>GRUMS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45855</v>
      </c>
      <c r="E184" s="1" t="n">
        <v>46306</v>
      </c>
      <c r="F184" t="inlineStr">
        <is>
          <t>VÄRMLANDS LÄN</t>
        </is>
      </c>
      <c r="G184" t="inlineStr">
        <is>
          <t>GRUMS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45229</v>
      </c>
      <c r="E185" s="1" t="n">
        <v>46306</v>
      </c>
      <c r="F185" t="inlineStr">
        <is>
          <t>VÄRMLANDS LÄN</t>
        </is>
      </c>
      <c r="G185" t="inlineStr">
        <is>
          <t>GRUMS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44753</v>
      </c>
      <c r="E186" s="1" t="n">
        <v>46306</v>
      </c>
      <c r="F186" t="inlineStr">
        <is>
          <t>VÄRMLANDS LÄN</t>
        </is>
      </c>
      <c r="G186" t="inlineStr">
        <is>
          <t>GRUMS</t>
        </is>
      </c>
      <c r="H186" t="inlineStr">
        <is>
          <t>Bergvik skog väst AB</t>
        </is>
      </c>
      <c r="I186" t="n">
        <v>14.4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45356</v>
      </c>
      <c r="E187" s="1" t="n">
        <v>46306</v>
      </c>
      <c r="F187" t="inlineStr">
        <is>
          <t>VÄRMLANDS LÄN</t>
        </is>
      </c>
      <c r="G187" t="inlineStr">
        <is>
          <t>GRUMS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45300</v>
      </c>
      <c r="E188" s="1" t="n">
        <v>46306</v>
      </c>
      <c r="F188" t="inlineStr">
        <is>
          <t>VÄRMLANDS LÄN</t>
        </is>
      </c>
      <c r="G188" t="inlineStr">
        <is>
          <t>GRUMS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46299-2022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44847</v>
      </c>
      <c r="E189" s="1" t="n">
        <v>46306</v>
      </c>
      <c r="F189" t="inlineStr">
        <is>
          <t>VÄRMLANDS LÄN</t>
        </is>
      </c>
      <c r="G189" t="inlineStr">
        <is>
          <t>GRUMS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30339-2022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44760</v>
      </c>
      <c r="E190" s="1" t="n">
        <v>46306</v>
      </c>
      <c r="F190" t="inlineStr">
        <is>
          <t>VÄRMLANDS LÄN</t>
        </is>
      </c>
      <c r="G190" t="inlineStr">
        <is>
          <t>GRUMS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6751-2025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46306</v>
      </c>
      <c r="F191" t="inlineStr">
        <is>
          <t>VÄRMLANDS LÄN</t>
        </is>
      </c>
      <c r="G191" t="inlineStr">
        <is>
          <t>GRUMS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45665</v>
      </c>
      <c r="E192" s="1" t="n">
        <v>46306</v>
      </c>
      <c r="F192" t="inlineStr">
        <is>
          <t>VÄRMLANDS LÄN</t>
        </is>
      </c>
      <c r="G192" t="inlineStr">
        <is>
          <t>GRUMS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63919-2021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44509</v>
      </c>
      <c r="E193" s="1" t="n">
        <v>46306</v>
      </c>
      <c r="F193" t="inlineStr">
        <is>
          <t>VÄRMLANDS LÄN</t>
        </is>
      </c>
      <c r="G193" t="inlineStr">
        <is>
          <t>GRUMS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62554-2022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44924</v>
      </c>
      <c r="E194" s="1" t="n">
        <v>46306</v>
      </c>
      <c r="F194" t="inlineStr">
        <is>
          <t>VÄRMLANDS LÄN</t>
        </is>
      </c>
      <c r="G194" t="inlineStr">
        <is>
          <t>GRUMS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57236-2023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45245</v>
      </c>
      <c r="E195" s="1" t="n">
        <v>46306</v>
      </c>
      <c r="F195" t="inlineStr">
        <is>
          <t>VÄRMLANDS LÄN</t>
        </is>
      </c>
      <c r="G195" t="inlineStr">
        <is>
          <t>GRUMS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45245</v>
      </c>
      <c r="E196" s="1" t="n">
        <v>46306</v>
      </c>
      <c r="F196" t="inlineStr">
        <is>
          <t>VÄRMLANDS LÄN</t>
        </is>
      </c>
      <c r="G196" t="inlineStr">
        <is>
          <t>GRUMS</t>
        </is>
      </c>
      <c r="I196" t="n">
        <v>18.2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9144-2024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45358</v>
      </c>
      <c r="E197" s="1" t="n">
        <v>46306</v>
      </c>
      <c r="F197" t="inlineStr">
        <is>
          <t>VÄRMLANDS LÄN</t>
        </is>
      </c>
      <c r="G197" t="inlineStr">
        <is>
          <t>GRUMS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37517-2025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45877</v>
      </c>
      <c r="E198" s="1" t="n">
        <v>46306</v>
      </c>
      <c r="F198" t="inlineStr">
        <is>
          <t>VÄRMLANDS LÄN</t>
        </is>
      </c>
      <c r="G198" t="inlineStr">
        <is>
          <t>GRUMS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45877</v>
      </c>
      <c r="E199" s="1" t="n">
        <v>46306</v>
      </c>
      <c r="F199" t="inlineStr">
        <is>
          <t>VÄRMLANDS LÄN</t>
        </is>
      </c>
      <c r="G199" t="inlineStr">
        <is>
          <t>GRUMS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45877</v>
      </c>
      <c r="E200" s="1" t="n">
        <v>46306</v>
      </c>
      <c r="F200" t="inlineStr">
        <is>
          <t>VÄRMLANDS LÄN</t>
        </is>
      </c>
      <c r="G200" t="inlineStr">
        <is>
          <t>GRUMS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58747-2025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45986</v>
      </c>
      <c r="E201" s="1" t="n">
        <v>46306</v>
      </c>
      <c r="F201" t="inlineStr">
        <is>
          <t>VÄRMLANDS LÄN</t>
        </is>
      </c>
      <c r="G201" t="inlineStr">
        <is>
          <t>GRUMS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58751-2025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45986</v>
      </c>
      <c r="E202" s="1" t="n">
        <v>46306</v>
      </c>
      <c r="F202" t="inlineStr">
        <is>
          <t>VÄRMLANDS LÄN</t>
        </is>
      </c>
      <c r="G202" t="inlineStr">
        <is>
          <t>GRUMS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14688-2026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46101</v>
      </c>
      <c r="E203" s="1" t="n">
        <v>46306</v>
      </c>
      <c r="F203" t="inlineStr">
        <is>
          <t>VÄRMLANDS LÄN</t>
        </is>
      </c>
      <c r="G203" t="inlineStr">
        <is>
          <t>GRUMS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45484</v>
      </c>
      <c r="E204" s="1" t="n">
        <v>46306</v>
      </c>
      <c r="F204" t="inlineStr">
        <is>
          <t>VÄRMLANDS LÄN</t>
        </is>
      </c>
      <c r="G204" t="inlineStr">
        <is>
          <t>GRUMS</t>
        </is>
      </c>
      <c r="H204" t="inlineStr">
        <is>
          <t>Bergvik skog väst AB</t>
        </is>
      </c>
      <c r="I204" t="n">
        <v>10.1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15543-2026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46306</v>
      </c>
      <c r="F205" t="inlineStr">
        <is>
          <t>VÄRMLANDS LÄN</t>
        </is>
      </c>
      <c r="G205" t="inlineStr">
        <is>
          <t>GRUMS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46306</v>
      </c>
      <c r="F206" t="inlineStr">
        <is>
          <t>VÄRMLANDS LÄN</t>
        </is>
      </c>
      <c r="G206" t="inlineStr">
        <is>
          <t>GRUMS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46306</v>
      </c>
      <c r="F207" t="inlineStr">
        <is>
          <t>VÄRMLANDS LÄN</t>
        </is>
      </c>
      <c r="G207" t="inlineStr">
        <is>
          <t>GRUMS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46306</v>
      </c>
      <c r="F208" t="inlineStr">
        <is>
          <t>VÄRMLANDS LÄN</t>
        </is>
      </c>
      <c r="G208" t="inlineStr">
        <is>
          <t>GRUMS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46306</v>
      </c>
      <c r="F209" t="inlineStr">
        <is>
          <t>VÄRMLANDS LÄN</t>
        </is>
      </c>
      <c r="G209" t="inlineStr">
        <is>
          <t>GRUMS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45546</v>
      </c>
      <c r="E210" s="1" t="n">
        <v>46306</v>
      </c>
      <c r="F210" t="inlineStr">
        <is>
          <t>VÄRMLANDS LÄN</t>
        </is>
      </c>
      <c r="G210" t="inlineStr">
        <is>
          <t>GRUMS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45124</v>
      </c>
      <c r="E211" s="1" t="n">
        <v>46306</v>
      </c>
      <c r="F211" t="inlineStr">
        <is>
          <t>VÄRMLANDS LÄN</t>
        </is>
      </c>
      <c r="G211" t="inlineStr">
        <is>
          <t>GRUMS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45539</v>
      </c>
      <c r="E212" s="1" t="n">
        <v>46306</v>
      </c>
      <c r="F212" t="inlineStr">
        <is>
          <t>VÄRMLANDS LÄN</t>
        </is>
      </c>
      <c r="G212" t="inlineStr">
        <is>
          <t>GRUMS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45996</v>
      </c>
      <c r="E213" s="1" t="n">
        <v>46306</v>
      </c>
      <c r="F213" t="inlineStr">
        <is>
          <t>VÄRMLANDS LÄN</t>
        </is>
      </c>
      <c r="G213" t="inlineStr">
        <is>
          <t>GRUMS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45432</v>
      </c>
      <c r="E214" s="1" t="n">
        <v>46306</v>
      </c>
      <c r="F214" t="inlineStr">
        <is>
          <t>VÄRMLANDS LÄN</t>
        </is>
      </c>
      <c r="G214" t="inlineStr">
        <is>
          <t>GRUMS</t>
        </is>
      </c>
      <c r="H214" t="inlineStr">
        <is>
          <t>Bergvik skog väst AB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44795</v>
      </c>
      <c r="E215" s="1" t="n">
        <v>46306</v>
      </c>
      <c r="F215" t="inlineStr">
        <is>
          <t>VÄRMLANDS LÄN</t>
        </is>
      </c>
      <c r="G215" t="inlineStr">
        <is>
          <t>GRUMS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46306</v>
      </c>
      <c r="F216" t="inlineStr">
        <is>
          <t>VÄRMLANDS LÄN</t>
        </is>
      </c>
      <c r="G216" t="inlineStr">
        <is>
          <t>GRUMS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45049</v>
      </c>
      <c r="E217" s="1" t="n">
        <v>46306</v>
      </c>
      <c r="F217" t="inlineStr">
        <is>
          <t>VÄRMLANDS LÄN</t>
        </is>
      </c>
      <c r="G217" t="inlineStr">
        <is>
          <t>GRUMS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44705</v>
      </c>
      <c r="E218" s="1" t="n">
        <v>46306</v>
      </c>
      <c r="F218" t="inlineStr">
        <is>
          <t>VÄRMLANDS LÄN</t>
        </is>
      </c>
      <c r="G218" t="inlineStr">
        <is>
          <t>GRUMS</t>
        </is>
      </c>
      <c r="I218" t="n">
        <v>12.4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7272-2022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44606</v>
      </c>
      <c r="E219" s="1" t="n">
        <v>46306</v>
      </c>
      <c r="F219" t="inlineStr">
        <is>
          <t>VÄRMLANDS LÄN</t>
        </is>
      </c>
      <c r="G219" t="inlineStr">
        <is>
          <t>GRUMS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22822-2024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45448</v>
      </c>
      <c r="E220" s="1" t="n">
        <v>46306</v>
      </c>
      <c r="F220" t="inlineStr">
        <is>
          <t>VÄRMLANDS LÄN</t>
        </is>
      </c>
      <c r="G220" t="inlineStr">
        <is>
          <t>GRUMS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42143-2025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45904</v>
      </c>
      <c r="E221" s="1" t="n">
        <v>46306</v>
      </c>
      <c r="F221" t="inlineStr">
        <is>
          <t>VÄRMLANDS LÄN</t>
        </is>
      </c>
      <c r="G221" t="inlineStr">
        <is>
          <t>GRUMS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59391-2025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45989</v>
      </c>
      <c r="E222" s="1" t="n">
        <v>46306</v>
      </c>
      <c r="F222" t="inlineStr">
        <is>
          <t>VÄRMLANDS LÄN</t>
        </is>
      </c>
      <c r="G222" t="inlineStr">
        <is>
          <t>GRUMS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59542-2022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44907</v>
      </c>
      <c r="E223" s="1" t="n">
        <v>46306</v>
      </c>
      <c r="F223" t="inlineStr">
        <is>
          <t>VÄRMLANDS LÄN</t>
        </is>
      </c>
      <c r="G223" t="inlineStr">
        <is>
          <t>GRUMS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21402-2024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45441</v>
      </c>
      <c r="E224" s="1" t="n">
        <v>46306</v>
      </c>
      <c r="F224" t="inlineStr">
        <is>
          <t>VÄRMLANDS LÄN</t>
        </is>
      </c>
      <c r="G224" t="inlineStr">
        <is>
          <t>GRUMS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46306</v>
      </c>
      <c r="F225" t="inlineStr">
        <is>
          <t>VÄRMLANDS LÄN</t>
        </is>
      </c>
      <c r="G225" t="inlineStr">
        <is>
          <t>GRUMS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45691</v>
      </c>
      <c r="E226" s="1" t="n">
        <v>46306</v>
      </c>
      <c r="F226" t="inlineStr">
        <is>
          <t>VÄRMLANDS LÄN</t>
        </is>
      </c>
      <c r="G226" t="inlineStr">
        <is>
          <t>GRUMS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71781-2021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44539</v>
      </c>
      <c r="E227" s="1" t="n">
        <v>46306</v>
      </c>
      <c r="F227" t="inlineStr">
        <is>
          <t>VÄRMLANDS LÄN</t>
        </is>
      </c>
      <c r="G227" t="inlineStr">
        <is>
          <t>GRUMS</t>
        </is>
      </c>
      <c r="H227" t="inlineStr">
        <is>
          <t>Bergvik skog väst AB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31930-2024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45510</v>
      </c>
      <c r="E228" s="1" t="n">
        <v>46306</v>
      </c>
      <c r="F228" t="inlineStr">
        <is>
          <t>VÄRMLANDS LÄN</t>
        </is>
      </c>
      <c r="G228" t="inlineStr">
        <is>
          <t>GRUMS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20784-2025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45776</v>
      </c>
      <c r="E229" s="1" t="n">
        <v>46306</v>
      </c>
      <c r="F229" t="inlineStr">
        <is>
          <t>VÄRMLANDS LÄN</t>
        </is>
      </c>
      <c r="G229" t="inlineStr">
        <is>
          <t>GRUMS</t>
        </is>
      </c>
      <c r="I229" t="n">
        <v>9.5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73901-2021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44552</v>
      </c>
      <c r="E230" s="1" t="n">
        <v>46306</v>
      </c>
      <c r="F230" t="inlineStr">
        <is>
          <t>VÄRMLANDS LÄN</t>
        </is>
      </c>
      <c r="G230" t="inlineStr">
        <is>
          <t>GRUMS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46024</v>
      </c>
      <c r="E231" s="1" t="n">
        <v>46306</v>
      </c>
      <c r="F231" t="inlineStr">
        <is>
          <t>VÄRMLANDS LÄN</t>
        </is>
      </c>
      <c r="G231" t="inlineStr">
        <is>
          <t>GRUMS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46039</v>
      </c>
      <c r="E232" s="1" t="n">
        <v>46306</v>
      </c>
      <c r="F232" t="inlineStr">
        <is>
          <t>VÄRMLANDS LÄN</t>
        </is>
      </c>
      <c r="G232" t="inlineStr">
        <is>
          <t>GRUMS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45896</v>
      </c>
      <c r="E233" s="1" t="n">
        <v>46306</v>
      </c>
      <c r="F233" t="inlineStr">
        <is>
          <t>VÄRMLANDS LÄN</t>
        </is>
      </c>
      <c r="G233" t="inlineStr">
        <is>
          <t>GRUMS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46306</v>
      </c>
      <c r="F234" t="inlineStr">
        <is>
          <t>VÄRMLANDS LÄN</t>
        </is>
      </c>
      <c r="G234" t="inlineStr">
        <is>
          <t>GRUMS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45390</v>
      </c>
      <c r="E235" s="1" t="n">
        <v>46306</v>
      </c>
      <c r="F235" t="inlineStr">
        <is>
          <t>VÄRMLANDS LÄN</t>
        </is>
      </c>
      <c r="G235" t="inlineStr">
        <is>
          <t>GRUMS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59617-2025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46306</v>
      </c>
      <c r="F236" t="inlineStr">
        <is>
          <t>VÄRMLANDS LÄN</t>
        </is>
      </c>
      <c r="G236" t="inlineStr">
        <is>
          <t>GRUMS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45117</v>
      </c>
      <c r="E237" s="1" t="n">
        <v>46306</v>
      </c>
      <c r="F237" t="inlineStr">
        <is>
          <t>VÄRMLANDS LÄN</t>
        </is>
      </c>
      <c r="G237" t="inlineStr">
        <is>
          <t>GRUMS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45329</v>
      </c>
      <c r="E238" s="1" t="n">
        <v>46306</v>
      </c>
      <c r="F238" t="inlineStr">
        <is>
          <t>VÄRMLANDS LÄN</t>
        </is>
      </c>
      <c r="G238" t="inlineStr">
        <is>
          <t>GRUMS</t>
        </is>
      </c>
      <c r="I238" t="n">
        <v>22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46066</v>
      </c>
      <c r="E239" s="1" t="n">
        <v>46306</v>
      </c>
      <c r="F239" t="inlineStr">
        <is>
          <t>VÄRMLANDS LÄN</t>
        </is>
      </c>
      <c r="G239" t="inlineStr">
        <is>
          <t>GRUMS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22406-2026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46154</v>
      </c>
      <c r="E240" s="1" t="n">
        <v>46306</v>
      </c>
      <c r="F240" t="inlineStr">
        <is>
          <t>VÄRMLANDS LÄN</t>
        </is>
      </c>
      <c r="G240" t="inlineStr">
        <is>
          <t>GRUMS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12283-2026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46087</v>
      </c>
      <c r="E241" s="1" t="n">
        <v>46306</v>
      </c>
      <c r="F241" t="inlineStr">
        <is>
          <t>VÄRMLANDS LÄN</t>
        </is>
      </c>
      <c r="G241" t="inlineStr">
        <is>
          <t>GRUMS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39334-2025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45889</v>
      </c>
      <c r="E242" s="1" t="n">
        <v>46306</v>
      </c>
      <c r="F242" t="inlineStr">
        <is>
          <t>VÄRMLANDS LÄN</t>
        </is>
      </c>
      <c r="G242" t="inlineStr">
        <is>
          <t>GRUMS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45681</v>
      </c>
      <c r="E243" s="1" t="n">
        <v>46306</v>
      </c>
      <c r="F243" t="inlineStr">
        <is>
          <t>VÄRMLANDS LÄN</t>
        </is>
      </c>
      <c r="G243" t="inlineStr">
        <is>
          <t>GRUMS</t>
        </is>
      </c>
      <c r="H243" t="inlineStr">
        <is>
          <t>BillerudKorsnäs AB</t>
        </is>
      </c>
      <c r="I243" t="n">
        <v>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71903-2021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44543</v>
      </c>
      <c r="E244" s="1" t="n">
        <v>46306</v>
      </c>
      <c r="F244" t="inlineStr">
        <is>
          <t>VÄRMLANDS LÄN</t>
        </is>
      </c>
      <c r="G244" t="inlineStr">
        <is>
          <t>GRUMS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46306</v>
      </c>
      <c r="F245" t="inlineStr">
        <is>
          <t>VÄRMLANDS LÄN</t>
        </is>
      </c>
      <c r="G245" t="inlineStr">
        <is>
          <t>GRUMS</t>
        </is>
      </c>
      <c r="H245" t="inlineStr">
        <is>
          <t>Kommuner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23733-2026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46164</v>
      </c>
      <c r="E246" s="1" t="n">
        <v>46306</v>
      </c>
      <c r="F246" t="inlineStr">
        <is>
          <t>VÄRMLANDS LÄN</t>
        </is>
      </c>
      <c r="G246" t="inlineStr">
        <is>
          <t>GRUMS</t>
        </is>
      </c>
      <c r="H246" t="inlineStr">
        <is>
          <t>Kommuner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46164</v>
      </c>
      <c r="E247" s="1" t="n">
        <v>46306</v>
      </c>
      <c r="F247" t="inlineStr">
        <is>
          <t>VÄRMLANDS LÄN</t>
        </is>
      </c>
      <c r="G247" t="inlineStr">
        <is>
          <t>GRUMS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46167</v>
      </c>
      <c r="E248" s="1" t="n">
        <v>46306</v>
      </c>
      <c r="F248" t="inlineStr">
        <is>
          <t>VÄRMLANDS LÄN</t>
        </is>
      </c>
      <c r="G248" t="inlineStr">
        <is>
          <t>GRUMS</t>
        </is>
      </c>
      <c r="H248" t="inlineStr">
        <is>
          <t>Kommuner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46171</v>
      </c>
      <c r="E249" s="1" t="n">
        <v>46306</v>
      </c>
      <c r="F249" t="inlineStr">
        <is>
          <t>VÄRMLANDS LÄN</t>
        </is>
      </c>
      <c r="G249" t="inlineStr">
        <is>
          <t>GRUMS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26015-2026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46181</v>
      </c>
      <c r="E250" s="1" t="n">
        <v>46306</v>
      </c>
      <c r="F250" t="inlineStr">
        <is>
          <t>VÄRMLANDS LÄN</t>
        </is>
      </c>
      <c r="G250" t="inlineStr">
        <is>
          <t>GRUMS</t>
        </is>
      </c>
      <c r="H250" t="inlineStr">
        <is>
          <t>Kommuner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11103-2022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44628</v>
      </c>
      <c r="E251" s="1" t="n">
        <v>46306</v>
      </c>
      <c r="F251" t="inlineStr">
        <is>
          <t>VÄRMLANDS LÄN</t>
        </is>
      </c>
      <c r="G251" t="inlineStr">
        <is>
          <t>GRUMS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28513-2026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46197</v>
      </c>
      <c r="E252" s="1" t="n">
        <v>46306</v>
      </c>
      <c r="F252" t="inlineStr">
        <is>
          <t>VÄRMLANDS LÄN</t>
        </is>
      </c>
      <c r="G252" t="inlineStr">
        <is>
          <t>GRUMS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32302-2024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45512</v>
      </c>
      <c r="E253" s="1" t="n">
        <v>46306</v>
      </c>
      <c r="F253" t="inlineStr">
        <is>
          <t>VÄRMLANDS LÄN</t>
        </is>
      </c>
      <c r="G253" t="inlineStr">
        <is>
          <t>GRUMS</t>
        </is>
      </c>
      <c r="H253" t="inlineStr">
        <is>
          <t>Bergvik skog väst AB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29205-2026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46202</v>
      </c>
      <c r="E254" s="1" t="n">
        <v>46306</v>
      </c>
      <c r="F254" t="inlineStr">
        <is>
          <t>VÄRMLANDS LÄN</t>
        </is>
      </c>
      <c r="G254" t="inlineStr">
        <is>
          <t>GRUMS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46202</v>
      </c>
      <c r="E255" s="1" t="n">
        <v>46306</v>
      </c>
      <c r="F255" t="inlineStr">
        <is>
          <t>VÄRMLANDS LÄN</t>
        </is>
      </c>
      <c r="G255" t="inlineStr">
        <is>
          <t>GRUMS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29191-2026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46202</v>
      </c>
      <c r="E256" s="1" t="n">
        <v>46306</v>
      </c>
      <c r="F256" t="inlineStr">
        <is>
          <t>VÄRMLANDS LÄN</t>
        </is>
      </c>
      <c r="G256" t="inlineStr">
        <is>
          <t>GRUMS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46214</v>
      </c>
      <c r="E257" s="1" t="n">
        <v>46306</v>
      </c>
      <c r="F257" t="inlineStr">
        <is>
          <t>VÄRMLANDS LÄN</t>
        </is>
      </c>
      <c r="G257" t="inlineStr">
        <is>
          <t>GRUMS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31559-2026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46224</v>
      </c>
      <c r="E258" s="1" t="n">
        <v>46306</v>
      </c>
      <c r="F258" t="inlineStr">
        <is>
          <t>VÄRMLANDS LÄN</t>
        </is>
      </c>
      <c r="G258" t="inlineStr">
        <is>
          <t>GRUMS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46274</v>
      </c>
      <c r="E259" s="1" t="n">
        <v>46306</v>
      </c>
      <c r="F259" t="inlineStr">
        <is>
          <t>VÄRMLANDS LÄN</t>
        </is>
      </c>
      <c r="G259" t="inlineStr">
        <is>
          <t>GRUMS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37243-2026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46274</v>
      </c>
      <c r="E260" s="1" t="n">
        <v>46306</v>
      </c>
      <c r="F260" t="inlineStr">
        <is>
          <t>VÄRMLANDS LÄN</t>
        </is>
      </c>
      <c r="G260" t="inlineStr">
        <is>
          <t>GRUMS</t>
        </is>
      </c>
      <c r="I260" t="n">
        <v>13.9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32942-2026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46244</v>
      </c>
      <c r="E261" s="1" t="n">
        <v>46306</v>
      </c>
      <c r="F261" t="inlineStr">
        <is>
          <t>VÄRMLANDS LÄN</t>
        </is>
      </c>
      <c r="G261" t="inlineStr">
        <is>
          <t>GRUMS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46255</v>
      </c>
      <c r="E262" s="1" t="n">
        <v>46306</v>
      </c>
      <c r="F262" t="inlineStr">
        <is>
          <t>VÄRMLANDS LÄN</t>
        </is>
      </c>
      <c r="G262" t="inlineStr">
        <is>
          <t>GRUMS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41154-2026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46300</v>
      </c>
      <c r="E263" s="1" t="n">
        <v>46306</v>
      </c>
      <c r="F263" t="inlineStr">
        <is>
          <t>VÄRMLANDS LÄN</t>
        </is>
      </c>
      <c r="G263" t="inlineStr">
        <is>
          <t>GRUMS</t>
        </is>
      </c>
      <c r="H263" t="inlineStr">
        <is>
          <t>Kommuner</t>
        </is>
      </c>
      <c r="I263" t="n">
        <v>20.8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2221-2023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45099</v>
      </c>
      <c r="E264" s="1" t="n">
        <v>46306</v>
      </c>
      <c r="F264" t="inlineStr">
        <is>
          <t>VÄRMLANDS LÄN</t>
        </is>
      </c>
      <c r="G264" t="inlineStr">
        <is>
          <t>GRUMS</t>
        </is>
      </c>
      <c r="H264" t="inlineStr">
        <is>
          <t>Bergvik skog väst AB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4473-2023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45272</v>
      </c>
      <c r="E265" s="1" t="n">
        <v>46306</v>
      </c>
      <c r="F265" t="inlineStr">
        <is>
          <t>VÄRMLANDS LÄN</t>
        </is>
      </c>
      <c r="G265" t="inlineStr">
        <is>
          <t>GRUMS</t>
        </is>
      </c>
      <c r="I265" t="n">
        <v>43.7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2137-2025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45846</v>
      </c>
      <c r="E266" s="1" t="n">
        <v>46306</v>
      </c>
      <c r="F266" t="inlineStr">
        <is>
          <t>VÄRMLANDS LÄN</t>
        </is>
      </c>
      <c r="G266" t="inlineStr">
        <is>
          <t>GRUMS</t>
        </is>
      </c>
      <c r="I266" t="n">
        <v>20.2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3158-2025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45973</v>
      </c>
      <c r="E267" s="1" t="n">
        <v>46306</v>
      </c>
      <c r="F267" t="inlineStr">
        <is>
          <t>VÄRMLANDS LÄN</t>
        </is>
      </c>
      <c r="G267" t="inlineStr">
        <is>
          <t>GRUMS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88-2026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46035</v>
      </c>
      <c r="E268" s="1" t="n">
        <v>46306</v>
      </c>
      <c r="F268" t="inlineStr">
        <is>
          <t>VÄRMLANDS LÄN</t>
        </is>
      </c>
      <c r="G268" t="inlineStr">
        <is>
          <t>GRUMS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2026-10-11T02:02:14Z</dcterms:created>
  <dcterms:modified xmlns:dcterms="http://purl.org/dc/terms/" xmlns:xsi="http://www.w3.org/2001/XMLSchema-instance" xsi:type="dcterms:W3CDTF">2026-10-11T02:02:14Z</dcterms:modified>
</cp:coreProperties>
</file>