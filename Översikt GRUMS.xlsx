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45847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45847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45847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11142-2020</t>
        </is>
      </c>
      <c r="B6" s="1" t="n">
        <v>43891</v>
      </c>
      <c r="C6" s="1" t="n">
        <v>45847</v>
      </c>
      <c r="D6" t="inlineStr">
        <is>
          <t>VÄRMLANDS LÄN</t>
        </is>
      </c>
      <c r="E6" t="inlineStr">
        <is>
          <t>GRUMS</t>
        </is>
      </c>
      <c r="G6" t="n">
        <v>3.1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Skogsknipprot</t>
        </is>
      </c>
      <c r="S6">
        <f>HYPERLINK("https://klasma.github.io/Logging_1764/artfynd/A 11142-2020 artfynd.xlsx", "A 11142-2020")</f>
        <v/>
      </c>
      <c r="T6">
        <f>HYPERLINK("https://klasma.github.io/Logging_1764/kartor/A 11142-2020 karta.png", "A 11142-2020")</f>
        <v/>
      </c>
      <c r="V6">
        <f>HYPERLINK("https://klasma.github.io/Logging_1764/klagomål/A 11142-2020 FSC-klagomål.docx", "A 11142-2020")</f>
        <v/>
      </c>
      <c r="W6">
        <f>HYPERLINK("https://klasma.github.io/Logging_1764/klagomålsmail/A 11142-2020 FSC-klagomål mail.docx", "A 11142-2020")</f>
        <v/>
      </c>
      <c r="X6">
        <f>HYPERLINK("https://klasma.github.io/Logging_1764/tillsyn/A 11142-2020 tillsynsbegäran.docx", "A 11142-2020")</f>
        <v/>
      </c>
      <c r="Y6">
        <f>HYPERLINK("https://klasma.github.io/Logging_1764/tillsynsmail/A 11142-2020 tillsynsbegäran mail.docx", "A 11142-2020")</f>
        <v/>
      </c>
    </row>
    <row r="7" ht="15" customHeight="1">
      <c r="A7" t="inlineStr">
        <is>
          <t>A 67351-2020</t>
        </is>
      </c>
      <c r="B7" s="1" t="n">
        <v>44181</v>
      </c>
      <c r="C7" s="1" t="n">
        <v>45847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10098-2021</t>
        </is>
      </c>
      <c r="B8" s="1" t="n">
        <v>44253</v>
      </c>
      <c r="C8" s="1" t="n">
        <v>45847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8.4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Vanlig groda</t>
        </is>
      </c>
      <c r="S8">
        <f>HYPERLINK("https://klasma.github.io/Logging_1764/artfynd/A 10098-2021 artfynd.xlsx", "A 10098-2021")</f>
        <v/>
      </c>
      <c r="T8">
        <f>HYPERLINK("https://klasma.github.io/Logging_1764/kartor/A 10098-2021 karta.png", "A 10098-2021")</f>
        <v/>
      </c>
      <c r="V8">
        <f>HYPERLINK("https://klasma.github.io/Logging_1764/klagomål/A 10098-2021 FSC-klagomål.docx", "A 10098-2021")</f>
        <v/>
      </c>
      <c r="W8">
        <f>HYPERLINK("https://klasma.github.io/Logging_1764/klagomålsmail/A 10098-2021 FSC-klagomål mail.docx", "A 10098-2021")</f>
        <v/>
      </c>
      <c r="X8">
        <f>HYPERLINK("https://klasma.github.io/Logging_1764/tillsyn/A 10098-2021 tillsynsbegäran.docx", "A 10098-2021")</f>
        <v/>
      </c>
      <c r="Y8">
        <f>HYPERLINK("https://klasma.github.io/Logging_1764/tillsynsmail/A 10098-2021 tillsynsbegäran mail.docx", "A 10098-2021")</f>
        <v/>
      </c>
      <c r="Z8">
        <f>HYPERLINK("https://klasma.github.io/Logging_1764/fåglar/A 10098-2021 prioriterade fågelarter.docx", "A 10098-2021")</f>
        <v/>
      </c>
    </row>
    <row r="9" ht="15" customHeight="1">
      <c r="A9" t="inlineStr">
        <is>
          <t>A 54073-2021</t>
        </is>
      </c>
      <c r="B9" s="1" t="n">
        <v>44470</v>
      </c>
      <c r="C9" s="1" t="n">
        <v>45847</v>
      </c>
      <c r="D9" t="inlineStr">
        <is>
          <t>VÄRMLANDS LÄN</t>
        </is>
      </c>
      <c r="E9" t="inlineStr">
        <is>
          <t>GRUMS</t>
        </is>
      </c>
      <c r="G9" t="n">
        <v>20.6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 taggsvamp</t>
        </is>
      </c>
      <c r="S9">
        <f>HYPERLINK("https://klasma.github.io/Logging_1764/artfynd/A 54073-2021 artfynd.xlsx", "A 54073-2021")</f>
        <v/>
      </c>
      <c r="T9">
        <f>HYPERLINK("https://klasma.github.io/Logging_1764/kartor/A 54073-2021 karta.png", "A 54073-2021")</f>
        <v/>
      </c>
      <c r="V9">
        <f>HYPERLINK("https://klasma.github.io/Logging_1764/klagomål/A 54073-2021 FSC-klagomål.docx", "A 54073-2021")</f>
        <v/>
      </c>
      <c r="W9">
        <f>HYPERLINK("https://klasma.github.io/Logging_1764/klagomålsmail/A 54073-2021 FSC-klagomål mail.docx", "A 54073-2021")</f>
        <v/>
      </c>
      <c r="X9">
        <f>HYPERLINK("https://klasma.github.io/Logging_1764/tillsyn/A 54073-2021 tillsynsbegäran.docx", "A 54073-2021")</f>
        <v/>
      </c>
      <c r="Y9">
        <f>HYPERLINK("https://klasma.github.io/Logging_1764/tillsynsmail/A 54073-2021 tillsynsbegäran mail.docx", "A 54073-2021")</f>
        <v/>
      </c>
      <c r="Z9">
        <f>HYPERLINK("https://klasma.github.io/Logging_1764/fåglar/A 54073-2021 prioriterade fågelarter.docx", "A 54073-2021")</f>
        <v/>
      </c>
    </row>
    <row r="10" ht="15" customHeight="1">
      <c r="A10" t="inlineStr">
        <is>
          <t>A 60826-2022</t>
        </is>
      </c>
      <c r="B10" s="1" t="n">
        <v>44907</v>
      </c>
      <c r="C10" s="1" t="n">
        <v>45847</v>
      </c>
      <c r="D10" t="inlineStr">
        <is>
          <t>VÄRMLANDS LÄN</t>
        </is>
      </c>
      <c r="E10" t="inlineStr">
        <is>
          <t>GRUMS</t>
        </is>
      </c>
      <c r="G10" t="n">
        <v>2.2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Rödgul trumpetsvamp</t>
        </is>
      </c>
      <c r="S10">
        <f>HYPERLINK("https://klasma.github.io/Logging_1764/artfynd/A 60826-2022 artfynd.xlsx", "A 60826-2022")</f>
        <v/>
      </c>
      <c r="T10">
        <f>HYPERLINK("https://klasma.github.io/Logging_1764/kartor/A 60826-2022 karta.png", "A 60826-2022")</f>
        <v/>
      </c>
      <c r="V10">
        <f>HYPERLINK("https://klasma.github.io/Logging_1764/klagomål/A 60826-2022 FSC-klagomål.docx", "A 60826-2022")</f>
        <v/>
      </c>
      <c r="W10">
        <f>HYPERLINK("https://klasma.github.io/Logging_1764/klagomålsmail/A 60826-2022 FSC-klagomål mail.docx", "A 60826-2022")</f>
        <v/>
      </c>
      <c r="X10">
        <f>HYPERLINK("https://klasma.github.io/Logging_1764/tillsyn/A 60826-2022 tillsynsbegäran.docx", "A 60826-2022")</f>
        <v/>
      </c>
      <c r="Y10">
        <f>HYPERLINK("https://klasma.github.io/Logging_1764/tillsynsmail/A 60826-2022 tillsynsbegäran mail.docx", "A 60826-2022")</f>
        <v/>
      </c>
    </row>
    <row r="11" ht="15" customHeight="1">
      <c r="A11" t="inlineStr">
        <is>
          <t>A 29756-2023</t>
        </is>
      </c>
      <c r="B11" s="1" t="n">
        <v>45107</v>
      </c>
      <c r="C11" s="1" t="n">
        <v>45847</v>
      </c>
      <c r="D11" t="inlineStr">
        <is>
          <t>VÄRMLANDS LÄN</t>
        </is>
      </c>
      <c r="E11" t="inlineStr">
        <is>
          <t>GRUMS</t>
        </is>
      </c>
      <c r="G11" t="n">
        <v>8.300000000000001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Brandticka</t>
        </is>
      </c>
      <c r="S11">
        <f>HYPERLINK("https://klasma.github.io/Logging_1764/artfynd/A 29756-2023 artfynd.xlsx", "A 29756-2023")</f>
        <v/>
      </c>
      <c r="T11">
        <f>HYPERLINK("https://klasma.github.io/Logging_1764/kartor/A 29756-2023 karta.png", "A 29756-2023")</f>
        <v/>
      </c>
      <c r="V11">
        <f>HYPERLINK("https://klasma.github.io/Logging_1764/klagomål/A 29756-2023 FSC-klagomål.docx", "A 29756-2023")</f>
        <v/>
      </c>
      <c r="W11">
        <f>HYPERLINK("https://klasma.github.io/Logging_1764/klagomålsmail/A 29756-2023 FSC-klagomål mail.docx", "A 29756-2023")</f>
        <v/>
      </c>
      <c r="X11">
        <f>HYPERLINK("https://klasma.github.io/Logging_1764/tillsyn/A 29756-2023 tillsynsbegäran.docx", "A 29756-2023")</f>
        <v/>
      </c>
      <c r="Y11">
        <f>HYPERLINK("https://klasma.github.io/Logging_1764/tillsynsmail/A 29756-2023 tillsynsbegäran mail.docx", "A 29756-2023")</f>
        <v/>
      </c>
    </row>
    <row r="12" ht="15" customHeight="1">
      <c r="A12" t="inlineStr">
        <is>
          <t>A 44655-2023</t>
        </is>
      </c>
      <c r="B12" s="1" t="n">
        <v>45189</v>
      </c>
      <c r="C12" s="1" t="n">
        <v>45847</v>
      </c>
      <c r="D12" t="inlineStr">
        <is>
          <t>VÄRMLANDS LÄN</t>
        </is>
      </c>
      <c r="E12" t="inlineStr">
        <is>
          <t>GRUMS</t>
        </is>
      </c>
      <c r="G12" t="n">
        <v>3.7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Spindelbock
Vanlig groda</t>
        </is>
      </c>
      <c r="S12">
        <f>HYPERLINK("https://klasma.github.io/Logging_1764/artfynd/A 44655-2023 artfynd.xlsx", "A 44655-2023")</f>
        <v/>
      </c>
      <c r="T12">
        <f>HYPERLINK("https://klasma.github.io/Logging_1764/kartor/A 44655-2023 karta.png", "A 44655-2023")</f>
        <v/>
      </c>
      <c r="V12">
        <f>HYPERLINK("https://klasma.github.io/Logging_1764/klagomål/A 44655-2023 FSC-klagomål.docx", "A 44655-2023")</f>
        <v/>
      </c>
      <c r="W12">
        <f>HYPERLINK("https://klasma.github.io/Logging_1764/klagomålsmail/A 44655-2023 FSC-klagomål mail.docx", "A 44655-2023")</f>
        <v/>
      </c>
      <c r="X12">
        <f>HYPERLINK("https://klasma.github.io/Logging_1764/tillsyn/A 44655-2023 tillsynsbegäran.docx", "A 44655-2023")</f>
        <v/>
      </c>
      <c r="Y12">
        <f>HYPERLINK("https://klasma.github.io/Logging_1764/tillsynsmail/A 44655-2023 tillsynsbegäran mail.docx", "A 44655-2023")</f>
        <v/>
      </c>
    </row>
    <row r="13" ht="15" customHeight="1">
      <c r="A13" t="inlineStr">
        <is>
          <t>A 43893-2019</t>
        </is>
      </c>
      <c r="B13" s="1" t="n">
        <v>43707</v>
      </c>
      <c r="C13" s="1" t="n">
        <v>45847</v>
      </c>
      <c r="D13" t="inlineStr">
        <is>
          <t>VÄRMLANDS LÄN</t>
        </is>
      </c>
      <c r="E13" t="inlineStr">
        <is>
          <t>GRUMS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HYPERLINK("https://klasma.github.io/Logging_1764/artfynd/A 43893-2019 artfynd.xlsx", "A 43893-2019")</f>
        <v/>
      </c>
      <c r="T13">
        <f>HYPERLINK("https://klasma.github.io/Logging_1764/kartor/A 43893-2019 karta.png", "A 43893-2019")</f>
        <v/>
      </c>
      <c r="V13">
        <f>HYPERLINK("https://klasma.github.io/Logging_1764/klagomål/A 43893-2019 FSC-klagomål.docx", "A 43893-2019")</f>
        <v/>
      </c>
      <c r="W13">
        <f>HYPERLINK("https://klasma.github.io/Logging_1764/klagomålsmail/A 43893-2019 FSC-klagomål mail.docx", "A 43893-2019")</f>
        <v/>
      </c>
      <c r="X13">
        <f>HYPERLINK("https://klasma.github.io/Logging_1764/tillsyn/A 43893-2019 tillsynsbegäran.docx", "A 43893-2019")</f>
        <v/>
      </c>
      <c r="Y13">
        <f>HYPERLINK("https://klasma.github.io/Logging_1764/tillsynsmail/A 43893-2019 tillsynsbegäran mail.docx", "A 43893-2019")</f>
        <v/>
      </c>
      <c r="Z13">
        <f>HYPERLINK("https://klasma.github.io/Logging_1764/fåglar/A 43893-2019 prioriterade fågelarter.docx", "A 43893-2019")</f>
        <v/>
      </c>
    </row>
    <row r="14" ht="15" customHeight="1">
      <c r="A14" t="inlineStr">
        <is>
          <t>A 11143-2020</t>
        </is>
      </c>
      <c r="B14" s="1" t="n">
        <v>43891</v>
      </c>
      <c r="C14" s="1" t="n">
        <v>45847</v>
      </c>
      <c r="D14" t="inlineStr">
        <is>
          <t>VÄRMLANDS LÄN</t>
        </is>
      </c>
      <c r="E14" t="inlineStr">
        <is>
          <t>GRUMS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11143-2020 artfynd.xlsx", "A 11143-2020")</f>
        <v/>
      </c>
      <c r="T14">
        <f>HYPERLINK("https://klasma.github.io/Logging_1764/kartor/A 11143-2020 karta.png", "A 11143-2020")</f>
        <v/>
      </c>
      <c r="V14">
        <f>HYPERLINK("https://klasma.github.io/Logging_1764/klagomål/A 11143-2020 FSC-klagomål.docx", "A 11143-2020")</f>
        <v/>
      </c>
      <c r="W14">
        <f>HYPERLINK("https://klasma.github.io/Logging_1764/klagomålsmail/A 11143-2020 FSC-klagomål mail.docx", "A 11143-2020")</f>
        <v/>
      </c>
      <c r="X14">
        <f>HYPERLINK("https://klasma.github.io/Logging_1764/tillsyn/A 11143-2020 tillsynsbegäran.docx", "A 11143-2020")</f>
        <v/>
      </c>
      <c r="Y14">
        <f>HYPERLINK("https://klasma.github.io/Logging_1764/tillsynsmail/A 11143-2020 tillsynsbegäran mail.docx", "A 11143-2020")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45847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66053-2021</t>
        </is>
      </c>
      <c r="B16" s="1" t="n">
        <v>44517</v>
      </c>
      <c r="C16" s="1" t="n">
        <v>45847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34357-2022</t>
        </is>
      </c>
      <c r="B17" s="1" t="n">
        <v>44792</v>
      </c>
      <c r="C17" s="1" t="n">
        <v>45847</v>
      </c>
      <c r="D17" t="inlineStr">
        <is>
          <t>VÄRMLANDS LÄN</t>
        </is>
      </c>
      <c r="E17" t="inlineStr">
        <is>
          <t>GRUMS</t>
        </is>
      </c>
      <c r="G17" t="n">
        <v>15.3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34357-2022 artfynd.xlsx", "A 34357-2022")</f>
        <v/>
      </c>
      <c r="T17">
        <f>HYPERLINK("https://klasma.github.io/Logging_1764/kartor/A 34357-2022 karta.png", "A 34357-2022")</f>
        <v/>
      </c>
      <c r="V17">
        <f>HYPERLINK("https://klasma.github.io/Logging_1764/klagomål/A 34357-2022 FSC-klagomål.docx", "A 34357-2022")</f>
        <v/>
      </c>
      <c r="W17">
        <f>HYPERLINK("https://klasma.github.io/Logging_1764/klagomålsmail/A 34357-2022 FSC-klagomål mail.docx", "A 34357-2022")</f>
        <v/>
      </c>
      <c r="X17">
        <f>HYPERLINK("https://klasma.github.io/Logging_1764/tillsyn/A 34357-2022 tillsynsbegäran.docx", "A 34357-2022")</f>
        <v/>
      </c>
      <c r="Y17">
        <f>HYPERLINK("https://klasma.github.io/Logging_1764/tillsynsmail/A 34357-2022 tillsynsbegäran mail.docx", "A 34357-2022")</f>
        <v/>
      </c>
    </row>
    <row r="18" ht="15" customHeight="1">
      <c r="A18" t="inlineStr">
        <is>
          <t>A 40441-2022</t>
        </is>
      </c>
      <c r="B18" s="1" t="n">
        <v>44819</v>
      </c>
      <c r="C18" s="1" t="n">
        <v>45847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9.199999999999999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HYPERLINK("https://klasma.github.io/Logging_1764/artfynd/A 40441-2022 artfynd.xlsx", "A 40441-2022")</f>
        <v/>
      </c>
      <c r="T18">
        <f>HYPERLINK("https://klasma.github.io/Logging_1764/kartor/A 40441-2022 karta.png", "A 40441-2022")</f>
        <v/>
      </c>
      <c r="V18">
        <f>HYPERLINK("https://klasma.github.io/Logging_1764/klagomål/A 40441-2022 FSC-klagomål.docx", "A 40441-2022")</f>
        <v/>
      </c>
      <c r="W18">
        <f>HYPERLINK("https://klasma.github.io/Logging_1764/klagomålsmail/A 40441-2022 FSC-klagomål mail.docx", "A 40441-2022")</f>
        <v/>
      </c>
      <c r="X18">
        <f>HYPERLINK("https://klasma.github.io/Logging_1764/tillsyn/A 40441-2022 tillsynsbegäran.docx", "A 40441-2022")</f>
        <v/>
      </c>
      <c r="Y18">
        <f>HYPERLINK("https://klasma.github.io/Logging_1764/tillsynsmail/A 40441-2022 tillsynsbegäran mail.docx", "A 40441-2022")</f>
        <v/>
      </c>
      <c r="Z18">
        <f>HYPERLINK("https://klasma.github.io/Logging_1764/fåglar/A 40441-2022 prioriterade fågelarter.docx", "A 40441-2022")</f>
        <v/>
      </c>
    </row>
    <row r="19" ht="15" customHeight="1">
      <c r="A19" t="inlineStr">
        <is>
          <t>A 5220-2023</t>
        </is>
      </c>
      <c r="B19" s="1" t="n">
        <v>44956</v>
      </c>
      <c r="C19" s="1" t="n">
        <v>45847</v>
      </c>
      <c r="D19" t="inlineStr">
        <is>
          <t>VÄRMLANDS LÄN</t>
        </is>
      </c>
      <c r="E19" t="inlineStr">
        <is>
          <t>GRUMS</t>
        </is>
      </c>
      <c r="G19" t="n">
        <v>9.300000000000001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5220-2023 artfynd.xlsx", "A 5220-2023")</f>
        <v/>
      </c>
      <c r="T19">
        <f>HYPERLINK("https://klasma.github.io/Logging_1764/kartor/A 5220-2023 karta.png", "A 5220-2023")</f>
        <v/>
      </c>
      <c r="V19">
        <f>HYPERLINK("https://klasma.github.io/Logging_1764/klagomål/A 5220-2023 FSC-klagomål.docx", "A 5220-2023")</f>
        <v/>
      </c>
      <c r="W19">
        <f>HYPERLINK("https://klasma.github.io/Logging_1764/klagomålsmail/A 5220-2023 FSC-klagomål mail.docx", "A 5220-2023")</f>
        <v/>
      </c>
      <c r="X19">
        <f>HYPERLINK("https://klasma.github.io/Logging_1764/tillsyn/A 5220-2023 tillsynsbegäran.docx", "A 5220-2023")</f>
        <v/>
      </c>
      <c r="Y19">
        <f>HYPERLINK("https://klasma.github.io/Logging_1764/tillsynsmail/A 5220-2023 tillsynsbegäran mail.docx", "A 5220-2023")</f>
        <v/>
      </c>
    </row>
    <row r="20" ht="15" customHeight="1">
      <c r="A20" t="inlineStr">
        <is>
          <t>A 15321-2023</t>
        </is>
      </c>
      <c r="B20" s="1" t="n">
        <v>45019</v>
      </c>
      <c r="C20" s="1" t="n">
        <v>45847</v>
      </c>
      <c r="D20" t="inlineStr">
        <is>
          <t>VÄRMLANDS LÄN</t>
        </is>
      </c>
      <c r="E20" t="inlineStr">
        <is>
          <t>GRUMS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HYPERLINK("https://klasma.github.io/Logging_1764/artfynd/A 15321-2023 artfynd.xlsx", "A 15321-2023")</f>
        <v/>
      </c>
      <c r="T20">
        <f>HYPERLINK("https://klasma.github.io/Logging_1764/kartor/A 15321-2023 karta.png", "A 15321-2023")</f>
        <v/>
      </c>
      <c r="V20">
        <f>HYPERLINK("https://klasma.github.io/Logging_1764/klagomål/A 15321-2023 FSC-klagomål.docx", "A 15321-2023")</f>
        <v/>
      </c>
      <c r="W20">
        <f>HYPERLINK("https://klasma.github.io/Logging_1764/klagomålsmail/A 15321-2023 FSC-klagomål mail.docx", "A 15321-2023")</f>
        <v/>
      </c>
      <c r="X20">
        <f>HYPERLINK("https://klasma.github.io/Logging_1764/tillsyn/A 15321-2023 tillsynsbegäran.docx", "A 15321-2023")</f>
        <v/>
      </c>
      <c r="Y20">
        <f>HYPERLINK("https://klasma.github.io/Logging_1764/tillsynsmail/A 15321-2023 tillsynsbegäran mail.docx", "A 15321-2023")</f>
        <v/>
      </c>
    </row>
    <row r="21" ht="15" customHeight="1">
      <c r="A21" t="inlineStr">
        <is>
          <t>A 23860-2023</t>
        </is>
      </c>
      <c r="B21" s="1" t="n">
        <v>45078</v>
      </c>
      <c r="C21" s="1" t="n">
        <v>45847</v>
      </c>
      <c r="D21" t="inlineStr">
        <is>
          <t>VÄRMLANDS LÄN</t>
        </is>
      </c>
      <c r="E21" t="inlineStr">
        <is>
          <t>GRUMS</t>
        </is>
      </c>
      <c r="G21" t="n">
        <v>3.5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HYPERLINK("https://klasma.github.io/Logging_1764/artfynd/A 23860-2023 artfynd.xlsx", "A 23860-2023")</f>
        <v/>
      </c>
      <c r="T21">
        <f>HYPERLINK("https://klasma.github.io/Logging_1764/kartor/A 23860-2023 karta.png", "A 23860-2023")</f>
        <v/>
      </c>
      <c r="V21">
        <f>HYPERLINK("https://klasma.github.io/Logging_1764/klagomål/A 23860-2023 FSC-klagomål.docx", "A 23860-2023")</f>
        <v/>
      </c>
      <c r="W21">
        <f>HYPERLINK("https://klasma.github.io/Logging_1764/klagomålsmail/A 23860-2023 FSC-klagomål mail.docx", "A 23860-2023")</f>
        <v/>
      </c>
      <c r="X21">
        <f>HYPERLINK("https://klasma.github.io/Logging_1764/tillsyn/A 23860-2023 tillsynsbegäran.docx", "A 23860-2023")</f>
        <v/>
      </c>
      <c r="Y21">
        <f>HYPERLINK("https://klasma.github.io/Logging_1764/tillsynsmail/A 23860-2023 tillsynsbegäran mail.docx", "A 23860-2023")</f>
        <v/>
      </c>
      <c r="Z21">
        <f>HYPERLINK("https://klasma.github.io/Logging_1764/fåglar/A 23860-2023 prioriterade fågelarter.docx", "A 23860-2023")</f>
        <v/>
      </c>
    </row>
    <row r="22" ht="15" customHeight="1">
      <c r="A22" t="inlineStr">
        <is>
          <t>A 8665-2024</t>
        </is>
      </c>
      <c r="B22" s="1" t="n">
        <v>45352</v>
      </c>
      <c r="C22" s="1" t="n">
        <v>45847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8665-2024 artfynd.xlsx", "A 8665-2024")</f>
        <v/>
      </c>
      <c r="T22">
        <f>HYPERLINK("https://klasma.github.io/Logging_1764/kartor/A 8665-2024 karta.png", "A 8665-2024")</f>
        <v/>
      </c>
      <c r="V22">
        <f>HYPERLINK("https://klasma.github.io/Logging_1764/klagomål/A 8665-2024 FSC-klagomål.docx", "A 8665-2024")</f>
        <v/>
      </c>
      <c r="W22">
        <f>HYPERLINK("https://klasma.github.io/Logging_1764/klagomålsmail/A 8665-2024 FSC-klagomål mail.docx", "A 8665-2024")</f>
        <v/>
      </c>
      <c r="X22">
        <f>HYPERLINK("https://klasma.github.io/Logging_1764/tillsyn/A 8665-2024 tillsynsbegäran.docx", "A 8665-2024")</f>
        <v/>
      </c>
      <c r="Y22">
        <f>HYPERLINK("https://klasma.github.io/Logging_1764/tillsynsmail/A 8665-2024 tillsynsbegäran mail.docx", "A 8665-2024")</f>
        <v/>
      </c>
    </row>
    <row r="23" ht="15" customHeight="1">
      <c r="A23" t="inlineStr">
        <is>
          <t>A 28237-2024</t>
        </is>
      </c>
      <c r="B23" s="1" t="n">
        <v>45477</v>
      </c>
      <c r="C23" s="1" t="n">
        <v>45847</v>
      </c>
      <c r="D23" t="inlineStr">
        <is>
          <t>VÄRMLANDS LÄN</t>
        </is>
      </c>
      <c r="E23" t="inlineStr">
        <is>
          <t>GRUMS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HYPERLINK("https://klasma.github.io/Logging_1764/artfynd/A 28237-2024 artfynd.xlsx", "A 28237-2024")</f>
        <v/>
      </c>
      <c r="T23">
        <f>HYPERLINK("https://klasma.github.io/Logging_1764/kartor/A 28237-2024 karta.png", "A 28237-2024")</f>
        <v/>
      </c>
      <c r="V23">
        <f>HYPERLINK("https://klasma.github.io/Logging_1764/klagomål/A 28237-2024 FSC-klagomål.docx", "A 28237-2024")</f>
        <v/>
      </c>
      <c r="W23">
        <f>HYPERLINK("https://klasma.github.io/Logging_1764/klagomålsmail/A 28237-2024 FSC-klagomål mail.docx", "A 28237-2024")</f>
        <v/>
      </c>
      <c r="X23">
        <f>HYPERLINK("https://klasma.github.io/Logging_1764/tillsyn/A 28237-2024 tillsynsbegäran.docx", "A 28237-2024")</f>
        <v/>
      </c>
      <c r="Y23">
        <f>HYPERLINK("https://klasma.github.io/Logging_1764/tillsynsmail/A 28237-2024 tillsynsbegäran mail.docx", "A 28237-2024")</f>
        <v/>
      </c>
    </row>
    <row r="24" ht="15" customHeight="1">
      <c r="A24" t="inlineStr">
        <is>
          <t>A 30828-2024</t>
        </is>
      </c>
      <c r="B24" s="1" t="n">
        <v>45497</v>
      </c>
      <c r="C24" s="1" t="n">
        <v>45847</v>
      </c>
      <c r="D24" t="inlineStr">
        <is>
          <t>VÄRMLANDS LÄN</t>
        </is>
      </c>
      <c r="E24" t="inlineStr">
        <is>
          <t>GRUMS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HYPERLINK("https://klasma.github.io/Logging_1764/artfynd/A 30828-2024 artfynd.xlsx", "A 30828-2024")</f>
        <v/>
      </c>
      <c r="T24">
        <f>HYPERLINK("https://klasma.github.io/Logging_1764/kartor/A 30828-2024 karta.png", "A 30828-2024")</f>
        <v/>
      </c>
      <c r="V24">
        <f>HYPERLINK("https://klasma.github.io/Logging_1764/klagomål/A 30828-2024 FSC-klagomål.docx", "A 30828-2024")</f>
        <v/>
      </c>
      <c r="W24">
        <f>HYPERLINK("https://klasma.github.io/Logging_1764/klagomålsmail/A 30828-2024 FSC-klagomål mail.docx", "A 30828-2024")</f>
        <v/>
      </c>
      <c r="X24">
        <f>HYPERLINK("https://klasma.github.io/Logging_1764/tillsyn/A 30828-2024 tillsynsbegäran.docx", "A 30828-2024")</f>
        <v/>
      </c>
      <c r="Y24">
        <f>HYPERLINK("https://klasma.github.io/Logging_1764/tillsynsmail/A 30828-2024 tillsynsbegäran mail.docx", "A 30828-2024")</f>
        <v/>
      </c>
    </row>
    <row r="25" ht="15" customHeight="1">
      <c r="A25" t="inlineStr">
        <is>
          <t>A 35077-2024</t>
        </is>
      </c>
      <c r="B25" s="1" t="n">
        <v>45527</v>
      </c>
      <c r="C25" s="1" t="n">
        <v>45847</v>
      </c>
      <c r="D25" t="inlineStr">
        <is>
          <t>VÄRMLANDS LÄN</t>
        </is>
      </c>
      <c r="E25" t="inlineStr">
        <is>
          <t>GRUMS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HYPERLINK("https://klasma.github.io/Logging_1764/artfynd/A 35077-2024 artfynd.xlsx", "A 35077-2024")</f>
        <v/>
      </c>
      <c r="T25">
        <f>HYPERLINK("https://klasma.github.io/Logging_1764/kartor/A 35077-2024 karta.png", "A 35077-2024")</f>
        <v/>
      </c>
      <c r="U25">
        <f>HYPERLINK("https://klasma.github.io/Logging_1764/knärot/A 35077-2024 karta knärot.png", "A 35077-2024")</f>
        <v/>
      </c>
      <c r="V25">
        <f>HYPERLINK("https://klasma.github.io/Logging_1764/klagomål/A 35077-2024 FSC-klagomål.docx", "A 35077-2024")</f>
        <v/>
      </c>
      <c r="W25">
        <f>HYPERLINK("https://klasma.github.io/Logging_1764/klagomålsmail/A 35077-2024 FSC-klagomål mail.docx", "A 35077-2024")</f>
        <v/>
      </c>
      <c r="X25">
        <f>HYPERLINK("https://klasma.github.io/Logging_1764/tillsyn/A 35077-2024 tillsynsbegäran.docx", "A 35077-2024")</f>
        <v/>
      </c>
      <c r="Y25">
        <f>HYPERLINK("https://klasma.github.io/Logging_1764/tillsynsmail/A 35077-2024 tillsynsbegäran mail.docx", "A 35077-2024")</f>
        <v/>
      </c>
    </row>
    <row r="26" ht="15" customHeight="1">
      <c r="A26" t="inlineStr">
        <is>
          <t>A 38420-2024</t>
        </is>
      </c>
      <c r="B26" s="1" t="n">
        <v>45546</v>
      </c>
      <c r="C26" s="1" t="n">
        <v>45847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HYPERLINK("https://klasma.github.io/Logging_1764/artfynd/A 38420-2024 artfynd.xlsx", "A 38420-2024")</f>
        <v/>
      </c>
      <c r="T26">
        <f>HYPERLINK("https://klasma.github.io/Logging_1764/kartor/A 38420-2024 karta.png", "A 38420-2024")</f>
        <v/>
      </c>
      <c r="V26">
        <f>HYPERLINK("https://klasma.github.io/Logging_1764/klagomål/A 38420-2024 FSC-klagomål.docx", "A 38420-2024")</f>
        <v/>
      </c>
      <c r="W26">
        <f>HYPERLINK("https://klasma.github.io/Logging_1764/klagomålsmail/A 38420-2024 FSC-klagomål mail.docx", "A 38420-2024")</f>
        <v/>
      </c>
      <c r="X26">
        <f>HYPERLINK("https://klasma.github.io/Logging_1764/tillsyn/A 38420-2024 tillsynsbegäran.docx", "A 38420-2024")</f>
        <v/>
      </c>
      <c r="Y26">
        <f>HYPERLINK("https://klasma.github.io/Logging_1764/tillsynsmail/A 38420-2024 tillsynsbegäran mail.docx", "A 38420-2024")</f>
        <v/>
      </c>
    </row>
    <row r="27" ht="15" customHeight="1">
      <c r="A27" t="inlineStr">
        <is>
          <t>A 56071-2024</t>
        </is>
      </c>
      <c r="B27" s="1" t="n">
        <v>45624</v>
      </c>
      <c r="C27" s="1" t="n">
        <v>45847</v>
      </c>
      <c r="D27" t="inlineStr">
        <is>
          <t>VÄRMLANDS LÄN</t>
        </is>
      </c>
      <c r="E27" t="inlineStr">
        <is>
          <t>GRUMS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Krusfrö</t>
        </is>
      </c>
      <c r="S27">
        <f>HYPERLINK("https://klasma.github.io/Logging_1764/artfynd/A 56071-2024 artfynd.xlsx", "A 56071-2024")</f>
        <v/>
      </c>
      <c r="T27">
        <f>HYPERLINK("https://klasma.github.io/Logging_1764/kartor/A 56071-2024 karta.png", "A 56071-2024")</f>
        <v/>
      </c>
      <c r="V27">
        <f>HYPERLINK("https://klasma.github.io/Logging_1764/klagomål/A 56071-2024 FSC-klagomål.docx", "A 56071-2024")</f>
        <v/>
      </c>
      <c r="W27">
        <f>HYPERLINK("https://klasma.github.io/Logging_1764/klagomålsmail/A 56071-2024 FSC-klagomål mail.docx", "A 56071-2024")</f>
        <v/>
      </c>
      <c r="X27">
        <f>HYPERLINK("https://klasma.github.io/Logging_1764/tillsyn/A 56071-2024 tillsynsbegäran.docx", "A 56071-2024")</f>
        <v/>
      </c>
      <c r="Y27">
        <f>HYPERLINK("https://klasma.github.io/Logging_1764/tillsynsmail/A 56071-2024 tillsynsbegäran mail.docx", "A 56071-2024")</f>
        <v/>
      </c>
    </row>
    <row r="28" ht="15" customHeight="1">
      <c r="A28" t="inlineStr">
        <is>
          <t>A 8363-2025</t>
        </is>
      </c>
      <c r="B28" s="1" t="n">
        <v>45708</v>
      </c>
      <c r="C28" s="1" t="n">
        <v>45847</v>
      </c>
      <c r="D28" t="inlineStr">
        <is>
          <t>VÄRMLANDS LÄN</t>
        </is>
      </c>
      <c r="E28" t="inlineStr">
        <is>
          <t>GRUMS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HYPERLINK("https://klasma.github.io/Logging_1764/artfynd/A 8363-2025 artfynd.xlsx", "A 8363-2025")</f>
        <v/>
      </c>
      <c r="T28">
        <f>HYPERLINK("https://klasma.github.io/Logging_1764/kartor/A 8363-2025 karta.png", "A 8363-2025")</f>
        <v/>
      </c>
      <c r="V28">
        <f>HYPERLINK("https://klasma.github.io/Logging_1764/klagomål/A 8363-2025 FSC-klagomål.docx", "A 8363-2025")</f>
        <v/>
      </c>
      <c r="W28">
        <f>HYPERLINK("https://klasma.github.io/Logging_1764/klagomålsmail/A 8363-2025 FSC-klagomål mail.docx", "A 8363-2025")</f>
        <v/>
      </c>
      <c r="X28">
        <f>HYPERLINK("https://klasma.github.io/Logging_1764/tillsyn/A 8363-2025 tillsynsbegäran.docx", "A 8363-2025")</f>
        <v/>
      </c>
      <c r="Y28">
        <f>HYPERLINK("https://klasma.github.io/Logging_1764/tillsynsmail/A 8363-2025 tillsynsbegäran mail.docx", "A 8363-2025")</f>
        <v/>
      </c>
    </row>
    <row r="29" ht="15" customHeight="1">
      <c r="A29" t="inlineStr">
        <is>
          <t>A 26662-2025</t>
        </is>
      </c>
      <c r="B29" s="1" t="n">
        <v>45810</v>
      </c>
      <c r="C29" s="1" t="n">
        <v>45847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HYPERLINK("https://klasma.github.io/Logging_171764/artfynd/A 26662-2025 artfynd.xlsx", "A 26662-2025")</f>
        <v/>
      </c>
      <c r="T29">
        <f>HYPERLINK("https://klasma.github.io/Logging_171764/kartor/A 26662-2025 karta.png", "A 26662-2025")</f>
        <v/>
      </c>
      <c r="V29">
        <f>HYPERLINK("https://klasma.github.io/Logging_171764/klagomål/A 26662-2025 FSC-klagomål.docx", "A 26662-2025")</f>
        <v/>
      </c>
      <c r="W29">
        <f>HYPERLINK("https://klasma.github.io/Logging_171764/klagomålsmail/A 26662-2025 FSC-klagomål mail.docx", "A 26662-2025")</f>
        <v/>
      </c>
      <c r="X29">
        <f>HYPERLINK("https://klasma.github.io/Logging_171764/tillsyn/A 26662-2025 tillsynsbegäran.docx", "A 26662-2025")</f>
        <v/>
      </c>
      <c r="Y29">
        <f>HYPERLINK("https://klasma.github.io/Logging_171764/tillsynsmail/A 26662-2025 tillsynsbegäran mail.docx", "A 26662-2025")</f>
        <v/>
      </c>
    </row>
    <row r="30" ht="15" customHeight="1">
      <c r="A30" t="inlineStr">
        <is>
          <t>A 30406-2025</t>
        </is>
      </c>
      <c r="B30" s="1" t="n">
        <v>45827</v>
      </c>
      <c r="C30" s="1" t="n">
        <v>45847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HYPERLINK("https://klasma.github.io/Logging_171764/artfynd/A 30406-2025 artfynd.xlsx", "A 30406-2025")</f>
        <v/>
      </c>
      <c r="T30">
        <f>HYPERLINK("https://klasma.github.io/Logging_171764/kartor/A 30406-2025 karta.png", "A 30406-2025")</f>
        <v/>
      </c>
      <c r="V30">
        <f>HYPERLINK("https://klasma.github.io/Logging_171764/klagomål/A 30406-2025 FSC-klagomål.docx", "A 30406-2025")</f>
        <v/>
      </c>
      <c r="W30">
        <f>HYPERLINK("https://klasma.github.io/Logging_171764/klagomålsmail/A 30406-2025 FSC-klagomål mail.docx", "A 30406-2025")</f>
        <v/>
      </c>
      <c r="X30">
        <f>HYPERLINK("https://klasma.github.io/Logging_171764/tillsyn/A 30406-2025 tillsynsbegäran.docx", "A 30406-2025")</f>
        <v/>
      </c>
      <c r="Y30">
        <f>HYPERLINK("https://klasma.github.io/Logging_171764/tillsynsmail/A 30406-2025 tillsynsbegäran mail.docx", "A 30406-2025")</f>
        <v/>
      </c>
      <c r="Z30">
        <f>HYPERLINK("https://klasma.github.io/Logging_171764/fåglar/A 30406-2025 prioriterade fågelarter.docx", "A 30406-2025")</f>
        <v/>
      </c>
    </row>
    <row r="31" ht="15" customHeight="1">
      <c r="A31" t="inlineStr">
        <is>
          <t>A 17868-2019</t>
        </is>
      </c>
      <c r="B31" s="1" t="n">
        <v>43557</v>
      </c>
      <c r="C31" s="1" t="n">
        <v>45847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45847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45847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45847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45847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45847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45847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45847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45847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45847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45847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45847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45847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45847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45847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45847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45847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45847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45847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45847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45847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45847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45847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45847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45847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45847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45847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45847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45847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45847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44167-2019</t>
        </is>
      </c>
      <c r="B61" s="1" t="n">
        <v>43710</v>
      </c>
      <c r="C61" s="1" t="n">
        <v>45847</v>
      </c>
      <c r="D61" t="inlineStr">
        <is>
          <t>VÄRMLANDS LÄN</t>
        </is>
      </c>
      <c r="E61" t="inlineStr">
        <is>
          <t>GRUMS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45803-2019</t>
        </is>
      </c>
      <c r="B62" s="1" t="n">
        <v>43717</v>
      </c>
      <c r="C62" s="1" t="n">
        <v>45847</v>
      </c>
      <c r="D62" t="inlineStr">
        <is>
          <t>VÄRMLANDS LÄN</t>
        </is>
      </c>
      <c r="E62" t="inlineStr">
        <is>
          <t>GRUMS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47481-2019</t>
        </is>
      </c>
      <c r="B63" s="1" t="n">
        <v>43724</v>
      </c>
      <c r="C63" s="1" t="n">
        <v>45847</v>
      </c>
      <c r="D63" t="inlineStr">
        <is>
          <t>VÄRMLANDS LÄN</t>
        </is>
      </c>
      <c r="E63" t="inlineStr">
        <is>
          <t>GRUMS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58898-2019</t>
        </is>
      </c>
      <c r="B64" s="1" t="n">
        <v>43768</v>
      </c>
      <c r="C64" s="1" t="n">
        <v>45847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58858-2019</t>
        </is>
      </c>
      <c r="B65" s="1" t="n">
        <v>43768</v>
      </c>
      <c r="C65" s="1" t="n">
        <v>45847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58880-2019</t>
        </is>
      </c>
      <c r="B66" s="1" t="n">
        <v>43768</v>
      </c>
      <c r="C66" s="1" t="n">
        <v>45847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59968-2019</t>
        </is>
      </c>
      <c r="B67" s="1" t="n">
        <v>43775</v>
      </c>
      <c r="C67" s="1" t="n">
        <v>45847</v>
      </c>
      <c r="D67" t="inlineStr">
        <is>
          <t>VÄRMLANDS LÄN</t>
        </is>
      </c>
      <c r="E67" t="inlineStr">
        <is>
          <t>GRUMS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61449-2019</t>
        </is>
      </c>
      <c r="B68" s="1" t="n">
        <v>43780</v>
      </c>
      <c r="C68" s="1" t="n">
        <v>45847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63284-2019</t>
        </is>
      </c>
      <c r="B69" s="1" t="n">
        <v>43787</v>
      </c>
      <c r="C69" s="1" t="n">
        <v>45847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63775-2019</t>
        </is>
      </c>
      <c r="B70" s="1" t="n">
        <v>43795</v>
      </c>
      <c r="C70" s="1" t="n">
        <v>45847</v>
      </c>
      <c r="D70" t="inlineStr">
        <is>
          <t>VÄRMLANDS LÄN</t>
        </is>
      </c>
      <c r="E70" t="inlineStr">
        <is>
          <t>GRUMS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4400-2020</t>
        </is>
      </c>
      <c r="B71" s="1" t="n">
        <v>43858</v>
      </c>
      <c r="C71" s="1" t="n">
        <v>45847</v>
      </c>
      <c r="D71" t="inlineStr">
        <is>
          <t>VÄRMLANDS LÄN</t>
        </is>
      </c>
      <c r="E71" t="inlineStr">
        <is>
          <t>GRUMS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4841-2020</t>
        </is>
      </c>
      <c r="B72" s="1" t="n">
        <v>43859</v>
      </c>
      <c r="C72" s="1" t="n">
        <v>45847</v>
      </c>
      <c r="D72" t="inlineStr">
        <is>
          <t>VÄRMLANDS LÄN</t>
        </is>
      </c>
      <c r="E72" t="inlineStr">
        <is>
          <t>GRUMS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6129-2020</t>
        </is>
      </c>
      <c r="B73" s="1" t="n">
        <v>43864</v>
      </c>
      <c r="C73" s="1" t="n">
        <v>45847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6125-2020</t>
        </is>
      </c>
      <c r="B74" s="1" t="n">
        <v>43864</v>
      </c>
      <c r="C74" s="1" t="n">
        <v>45847</v>
      </c>
      <c r="D74" t="inlineStr">
        <is>
          <t>VÄRMLANDS LÄN</t>
        </is>
      </c>
      <c r="E74" t="inlineStr">
        <is>
          <t>GRUMS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6410-2020</t>
        </is>
      </c>
      <c r="B75" s="1" t="n">
        <v>43864</v>
      </c>
      <c r="C75" s="1" t="n">
        <v>45847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7904-2020</t>
        </is>
      </c>
      <c r="B76" s="1" t="n">
        <v>43873</v>
      </c>
      <c r="C76" s="1" t="n">
        <v>45847</v>
      </c>
      <c r="D76" t="inlineStr">
        <is>
          <t>VÄRMLANDS LÄN</t>
        </is>
      </c>
      <c r="E76" t="inlineStr">
        <is>
          <t>GRUMS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12152-2020</t>
        </is>
      </c>
      <c r="B77" s="1" t="n">
        <v>43891</v>
      </c>
      <c r="C77" s="1" t="n">
        <v>45847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45847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45847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45847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45847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45847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45847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45847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45847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45847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45847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45847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45847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45847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45847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45847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45847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45847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45847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45847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45847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45847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45847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45847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45847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45847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45847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45847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45847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45847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45847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45847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45847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45847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45847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45847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45847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45847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45847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45847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45847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45847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45847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45847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45847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45847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45847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45847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45847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45847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45847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45847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45847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45847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45847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45847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45847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45847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45847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45847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45847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45847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45847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45847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45847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45847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45847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45847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45847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45847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45847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45847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45847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45847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45847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45847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45847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45847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45847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45847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45847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45847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45847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45847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45847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45847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45847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45847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45847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45847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45847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45847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45847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45847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45847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45847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45847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45847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45847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45847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45847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45847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45847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45847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45847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45847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45847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45847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45847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45847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45847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45847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45847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45847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45847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45847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45847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45847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45847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45847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45847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45847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45847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45847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45847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45847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45847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45847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45847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45847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45847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45847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45847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45847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45847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45847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45847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45847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45847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45847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45847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45847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45847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45847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45847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45847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45847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45847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45847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45847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45847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45847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45847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45847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45847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45847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45847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45847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45847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45847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45847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45847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45847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45847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45847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45847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45847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45847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45847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45847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45847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45847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45847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45847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45847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45847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45847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45847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45847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45847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45847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45847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45847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45847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45847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45847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45847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45847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45847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45847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45847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45847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45847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45847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45847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45847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45847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45847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45847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45847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45847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45847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45847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45847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45847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45847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45847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45847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45847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45847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45847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45847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45847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45847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45847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45847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45847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45847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45847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45847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45847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45847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45847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45847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45847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45847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45847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45847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45847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45847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45847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45847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45847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45847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45847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45847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45847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45847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45847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45847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45847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45847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45847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45847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45847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45847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45847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45847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45847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45847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45847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45847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45847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45847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45847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45847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45847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45847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45847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45847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45847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45847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45847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45847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45847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45847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45847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45847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45847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45847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45847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45847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45847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45847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45847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45847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45847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45847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45847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45847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45847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45847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45847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45847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45847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45847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45847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45847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45847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45847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45847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45847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45847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45847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45847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45847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45847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45847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45847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45847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45847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45847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45847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45847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45847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45847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45847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45847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45847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45847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45847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45847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45847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45847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45847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45847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45847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45847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45847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45847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45847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45847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45847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45847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45847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45847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45847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45847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45847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45847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45847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45847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45847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45847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45847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45847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45847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45847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45847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45847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45847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45847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45847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45847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45847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45847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45847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45847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45847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45847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45847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45847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45847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45847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45847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45847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45847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45847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45847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45847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45847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45847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45847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45847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45847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45847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45847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45847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45847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45847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45847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45847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45847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45847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45847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45847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45847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45847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45847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45847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45847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45847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45847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45847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45847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45847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45847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45847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45847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45847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45847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45847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45847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45847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45847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45847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45847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45847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45847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45847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45847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45847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45847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45847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45847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45847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45847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45847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45847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45847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45847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45847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45847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45847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45847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45847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45847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45847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45847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45847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45847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45847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45847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45847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45847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45847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45847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45847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45847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45847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45847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45847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45847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45847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45847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45847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45847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45847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45847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45847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45847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45847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45847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45847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45847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45847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45847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31190-2025</t>
        </is>
      </c>
      <c r="B535" s="1" t="n">
        <v>45831</v>
      </c>
      <c r="C535" s="1" t="n">
        <v>45847</v>
      </c>
      <c r="D535" t="inlineStr">
        <is>
          <t>VÄRMLANDS LÄN</t>
        </is>
      </c>
      <c r="E535" t="inlineStr">
        <is>
          <t>GRUMS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30563-2025</t>
        </is>
      </c>
      <c r="B536" s="1" t="n">
        <v>45831</v>
      </c>
      <c r="C536" s="1" t="n">
        <v>45847</v>
      </c>
      <c r="D536" t="inlineStr">
        <is>
          <t>VÄRMLANDS LÄN</t>
        </is>
      </c>
      <c r="E536" t="inlineStr">
        <is>
          <t>GRUMS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45847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45847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2025-07-09T20:40:05Z</dcterms:created>
  <dcterms:modified xmlns:dcterms="http://purl.org/dc/terms/" xmlns:xsi="http://www.w3.org/2001/XMLSchema-instance" xsi:type="dcterms:W3CDTF">2025-07-09T20:40:05Z</dcterms:modified>
</cp:coreProperties>
</file>