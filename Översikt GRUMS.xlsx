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46224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46224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46224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46224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46224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46224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46224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46224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46224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46224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46224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46224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46224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46224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46224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46224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46224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46224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46224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46224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46224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Vätteros</t>
        </is>
      </c>
      <c r="W27">
        <f>HYPERLINK("https://klasma.github.io/Logging_1764/artfynd/A 15321-2023 artfynd.xlsx", "A 15321-2023")</f>
        <v/>
      </c>
      <c r="X27">
        <f>HYPERLINK("https://klasma.github.io/Logging_1764/kartor/A 15321-2023 karta.png", "A 15321-2023")</f>
        <v/>
      </c>
      <c r="Y27">
        <f>HYPERLINK("https://klasma.github.io/Logging_1764/kartor_geotiff/A 15321-2023 georefererad karta.tif", "A 15321-2023")</f>
        <v/>
      </c>
      <c r="AA27">
        <f>HYPERLINK("https://klasma.github.io/Logging_1764/klagomål/A 15321-2023 FSC-klagomål.docx", "A 15321-2023")</f>
        <v/>
      </c>
      <c r="AB27">
        <f>HYPERLINK("https://klasma.github.io/Logging_1764/klagomålsmail/A 15321-2023 FSC-klagomål mail.docx", "A 15321-2023")</f>
        <v/>
      </c>
      <c r="AC27">
        <f>HYPERLINK("https://klasma.github.io/Logging_1764/tillsyn/A 15321-2023 tillsynsbegäran.docx", "A 15321-2023")</f>
        <v/>
      </c>
      <c r="AD27">
        <f>HYPERLINK("https://klasma.github.io/Logging_1764/tillsynsmail/A 15321-2023 tillsynsbegäran mail.docx", "A 15321-2023")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46224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46224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46224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46224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7931-2025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45706</v>
      </c>
      <c r="E32" s="1" t="n">
        <v>46224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HYPERLINK("https://klasma.github.io/Logging_1764/artfynd/A 7931-2025 artfynd.xlsx", "A 7931-2025")</f>
        <v/>
      </c>
      <c r="X32">
        <f>HYPERLINK("https://klasma.github.io/Logging_1764/kartor/A 7931-2025 karta.png", "A 7931-2025")</f>
        <v/>
      </c>
      <c r="Y32">
        <f>HYPERLINK("https://klasma.github.io/Logging_1764/kartor_geotiff/A 7931-2025 georefererad karta.tif", "A 7931-2025")</f>
        <v/>
      </c>
      <c r="AA32">
        <f>HYPERLINK("https://klasma.github.io/Logging_1764/klagomål/A 7931-2025 FSC-klagomål.docx", "A 7931-2025")</f>
        <v/>
      </c>
      <c r="AB32">
        <f>HYPERLINK("https://klasma.github.io/Logging_1764/klagomålsmail/A 7931-2025 FSC-klagomål mail.docx", "A 7931-2025")</f>
        <v/>
      </c>
      <c r="AC32">
        <f>HYPERLINK("https://klasma.github.io/Logging_1764/tillsyn/A 7931-2025 tillsynsbegäran.docx", "A 7931-2025")</f>
        <v/>
      </c>
      <c r="AD32">
        <f>HYPERLINK("https://klasma.github.io/Logging_1764/tillsynsmail/A 7931-2025 tillsynsbegäran mail.docx", "A 7931-2025")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46224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46224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46224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46224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46224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46224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46224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46224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46224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46224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46224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46224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46224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46224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46224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44860</v>
      </c>
      <c r="E48" s="1" t="n">
        <v>46224</v>
      </c>
      <c r="F48" t="inlineStr">
        <is>
          <t>VÄRMLANDS LÄN</t>
        </is>
      </c>
      <c r="G48" t="inlineStr">
        <is>
          <t>GRUMS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34652-2022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46224</v>
      </c>
      <c r="F49" t="inlineStr">
        <is>
          <t>VÄRMLANDS LÄN</t>
        </is>
      </c>
      <c r="G49" t="inlineStr">
        <is>
          <t>GRUMS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46224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44405</v>
      </c>
      <c r="E51" s="1" t="n">
        <v>46224</v>
      </c>
      <c r="F51" t="inlineStr">
        <is>
          <t>VÄRMLANDS LÄN</t>
        </is>
      </c>
      <c r="G51" t="inlineStr">
        <is>
          <t>GRUMS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45052-2021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44439</v>
      </c>
      <c r="E52" s="1" t="n">
        <v>46224</v>
      </c>
      <c r="F52" t="inlineStr">
        <is>
          <t>VÄRMLANDS LÄN</t>
        </is>
      </c>
      <c r="G52" t="inlineStr">
        <is>
          <t>GRUMS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46224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46224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46224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46224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46224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46224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19669-2022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44694</v>
      </c>
      <c r="E59" s="1" t="n">
        <v>46224</v>
      </c>
      <c r="F59" t="inlineStr">
        <is>
          <t>VÄRMLANDS LÄN</t>
        </is>
      </c>
      <c r="G59" t="inlineStr">
        <is>
          <t>GRUMS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46224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46224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46224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46224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46224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46224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46224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46224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46224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46224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46224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46224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46224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46224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46224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44577</v>
      </c>
      <c r="E75" s="1" t="n">
        <v>46224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46224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46224</v>
      </c>
      <c r="F77" t="inlineStr">
        <is>
          <t>VÄRMLANDS LÄN</t>
        </is>
      </c>
      <c r="G77" t="inlineStr">
        <is>
          <t>GRUMS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46224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46224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46224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46224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46224</v>
      </c>
      <c r="F82" t="inlineStr">
        <is>
          <t>VÄRMLANDS LÄN</t>
        </is>
      </c>
      <c r="G82" t="inlineStr">
        <is>
          <t>GRUMS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46224</v>
      </c>
      <c r="F83" t="inlineStr">
        <is>
          <t>VÄRMLANDS LÄN</t>
        </is>
      </c>
      <c r="G83" t="inlineStr">
        <is>
          <t>GRUMS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73901-2021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46224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46224</v>
      </c>
      <c r="F85" t="inlineStr">
        <is>
          <t>VÄRMLANDS LÄN</t>
        </is>
      </c>
      <c r="G85" t="inlineStr">
        <is>
          <t>GRUMS</t>
        </is>
      </c>
      <c r="I85" t="n">
        <v>14.3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46224</v>
      </c>
      <c r="F86" t="inlineStr">
        <is>
          <t>VÄRMLANDS LÄN</t>
        </is>
      </c>
      <c r="G86" t="inlineStr">
        <is>
          <t>GRUMS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46224</v>
      </c>
      <c r="F87" t="inlineStr">
        <is>
          <t>VÄRMLANDS LÄN</t>
        </is>
      </c>
      <c r="G87" t="inlineStr">
        <is>
          <t>GRUMS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46224</v>
      </c>
      <c r="F88" t="inlineStr">
        <is>
          <t>VÄRMLANDS LÄN</t>
        </is>
      </c>
      <c r="G88" t="inlineStr">
        <is>
          <t>GRUMS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73033-2021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46224</v>
      </c>
      <c r="F89" t="inlineStr">
        <is>
          <t>VÄRMLANDS LÄN</t>
        </is>
      </c>
      <c r="G89" t="inlineStr">
        <is>
          <t>GRUMS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45387</v>
      </c>
      <c r="E90" s="1" t="n">
        <v>46224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46224</v>
      </c>
      <c r="F91" t="inlineStr">
        <is>
          <t>VÄRMLANDS LÄN</t>
        </is>
      </c>
      <c r="G91" t="inlineStr">
        <is>
          <t>GRUMS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57237-2023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46224</v>
      </c>
      <c r="F92" t="inlineStr">
        <is>
          <t>VÄRMLANDS LÄN</t>
        </is>
      </c>
      <c r="G92" t="inlineStr">
        <is>
          <t>GRUMS</t>
        </is>
      </c>
      <c r="I92" t="n">
        <v>18.2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44963</v>
      </c>
      <c r="E93" s="1" t="n">
        <v>46224</v>
      </c>
      <c r="F93" t="inlineStr">
        <is>
          <t>VÄRMLANDS LÄN</t>
        </is>
      </c>
      <c r="G93" t="inlineStr">
        <is>
          <t>GRUMS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46224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46224</v>
      </c>
      <c r="F95" t="inlineStr">
        <is>
          <t>VÄRMLANDS LÄN</t>
        </is>
      </c>
      <c r="G95" t="inlineStr">
        <is>
          <t>GRUMS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18341-2025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46224</v>
      </c>
      <c r="F96" t="inlineStr">
        <is>
          <t>VÄRMLANDS LÄN</t>
        </is>
      </c>
      <c r="G96" t="inlineStr">
        <is>
          <t>GRUMS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46224</v>
      </c>
      <c r="F97" t="inlineStr">
        <is>
          <t>VÄRMLANDS LÄN</t>
        </is>
      </c>
      <c r="G97" t="inlineStr">
        <is>
          <t>GRUMS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44468</v>
      </c>
      <c r="E98" s="1" t="n">
        <v>46224</v>
      </c>
      <c r="F98" t="inlineStr">
        <is>
          <t>VÄRMLANDS LÄN</t>
        </is>
      </c>
      <c r="G98" t="inlineStr">
        <is>
          <t>GRUMS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46224</v>
      </c>
      <c r="F99" t="inlineStr">
        <is>
          <t>VÄRMLANDS LÄN</t>
        </is>
      </c>
      <c r="G99" t="inlineStr">
        <is>
          <t>GRUMS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46224</v>
      </c>
      <c r="F100" t="inlineStr">
        <is>
          <t>VÄRMLANDS LÄN</t>
        </is>
      </c>
      <c r="G100" t="inlineStr">
        <is>
          <t>GRUMS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46224</v>
      </c>
      <c r="F101" t="inlineStr">
        <is>
          <t>VÄRMLANDS LÄN</t>
        </is>
      </c>
      <c r="G101" t="inlineStr">
        <is>
          <t>GRUMS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46224</v>
      </c>
      <c r="F102" t="inlineStr">
        <is>
          <t>VÄRMLANDS LÄN</t>
        </is>
      </c>
      <c r="G102" t="inlineStr">
        <is>
          <t>GRUMS</t>
        </is>
      </c>
      <c r="H102" t="inlineStr">
        <is>
          <t>Bergvik skog väst AB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46224</v>
      </c>
      <c r="F103" t="inlineStr">
        <is>
          <t>VÄRMLANDS LÄN</t>
        </is>
      </c>
      <c r="G103" t="inlineStr">
        <is>
          <t>GRUMS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46224</v>
      </c>
      <c r="F104" t="inlineStr">
        <is>
          <t>VÄRMLANDS LÄN</t>
        </is>
      </c>
      <c r="G104" t="inlineStr">
        <is>
          <t>GRUMS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46224</v>
      </c>
      <c r="F105" t="inlineStr">
        <is>
          <t>VÄRMLANDS LÄN</t>
        </is>
      </c>
      <c r="G105" t="inlineStr">
        <is>
          <t>GRUMS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59391-2025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45989</v>
      </c>
      <c r="E106" s="1" t="n">
        <v>46224</v>
      </c>
      <c r="F106" t="inlineStr">
        <is>
          <t>VÄRMLANDS LÄN</t>
        </is>
      </c>
      <c r="G106" t="inlineStr">
        <is>
          <t>GRUMS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46224</v>
      </c>
      <c r="F107" t="inlineStr">
        <is>
          <t>VÄRMLANDS LÄN</t>
        </is>
      </c>
      <c r="G107" t="inlineStr">
        <is>
          <t>GRUMS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45434</v>
      </c>
      <c r="E108" s="1" t="n">
        <v>46224</v>
      </c>
      <c r="F108" t="inlineStr">
        <is>
          <t>VÄRMLANDS LÄN</t>
        </is>
      </c>
      <c r="G108" t="inlineStr">
        <is>
          <t>GRUMS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45152</v>
      </c>
      <c r="E109" s="1" t="n">
        <v>46224</v>
      </c>
      <c r="F109" t="inlineStr">
        <is>
          <t>VÄRMLANDS LÄN</t>
        </is>
      </c>
      <c r="G109" t="inlineStr">
        <is>
          <t>GRUMS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46224</v>
      </c>
      <c r="F110" t="inlineStr">
        <is>
          <t>VÄRMLANDS LÄN</t>
        </is>
      </c>
      <c r="G110" t="inlineStr">
        <is>
          <t>GRUMS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45240</v>
      </c>
      <c r="E111" s="1" t="n">
        <v>46224</v>
      </c>
      <c r="F111" t="inlineStr">
        <is>
          <t>VÄRMLANDS LÄN</t>
        </is>
      </c>
      <c r="G111" t="inlineStr">
        <is>
          <t>GRUMS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45300</v>
      </c>
      <c r="E112" s="1" t="n">
        <v>46224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44760</v>
      </c>
      <c r="E113" s="1" t="n">
        <v>46224</v>
      </c>
      <c r="F113" t="inlineStr">
        <is>
          <t>VÄRMLANDS LÄN</t>
        </is>
      </c>
      <c r="G113" t="inlineStr">
        <is>
          <t>GRUMS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46224</v>
      </c>
      <c r="F114" t="inlineStr">
        <is>
          <t>VÄRMLANDS LÄN</t>
        </is>
      </c>
      <c r="G114" t="inlineStr">
        <is>
          <t>GRUMS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46224</v>
      </c>
      <c r="F115" t="inlineStr">
        <is>
          <t>VÄRMLANDS LÄN</t>
        </is>
      </c>
      <c r="G115" t="inlineStr">
        <is>
          <t>GRUMS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29260-2025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46224</v>
      </c>
      <c r="F116" t="inlineStr">
        <is>
          <t>VÄRMLANDS LÄN</t>
        </is>
      </c>
      <c r="G116" t="inlineStr">
        <is>
          <t>GRUMS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46224</v>
      </c>
      <c r="F117" t="inlineStr">
        <is>
          <t>VÄRMLANDS LÄN</t>
        </is>
      </c>
      <c r="G117" t="inlineStr">
        <is>
          <t>GRUMS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46224</v>
      </c>
      <c r="F118" t="inlineStr">
        <is>
          <t>VÄRMLANDS LÄN</t>
        </is>
      </c>
      <c r="G118" t="inlineStr">
        <is>
          <t>GRUMS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46224</v>
      </c>
      <c r="F119" t="inlineStr">
        <is>
          <t>VÄRMLANDS LÄN</t>
        </is>
      </c>
      <c r="G119" t="inlineStr">
        <is>
          <t>GRUMS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44924</v>
      </c>
      <c r="E120" s="1" t="n">
        <v>46224</v>
      </c>
      <c r="F120" t="inlineStr">
        <is>
          <t>VÄRMLANDS LÄN</t>
        </is>
      </c>
      <c r="G120" t="inlineStr">
        <is>
          <t>GRUMS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46224</v>
      </c>
      <c r="F121" t="inlineStr">
        <is>
          <t>VÄRMLANDS LÄN</t>
        </is>
      </c>
      <c r="G121" t="inlineStr">
        <is>
          <t>GRUMS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45441</v>
      </c>
      <c r="E122" s="1" t="n">
        <v>46224</v>
      </c>
      <c r="F122" t="inlineStr">
        <is>
          <t>VÄRMLANDS LÄN</t>
        </is>
      </c>
      <c r="G122" t="inlineStr">
        <is>
          <t>GRUMS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45836</v>
      </c>
      <c r="E123" s="1" t="n">
        <v>46224</v>
      </c>
      <c r="F123" t="inlineStr">
        <is>
          <t>VÄRMLANDS LÄN</t>
        </is>
      </c>
      <c r="G123" t="inlineStr">
        <is>
          <t>GRUMS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45939</v>
      </c>
      <c r="E124" s="1" t="n">
        <v>46224</v>
      </c>
      <c r="F124" t="inlineStr">
        <is>
          <t>VÄRMLANDS LÄN</t>
        </is>
      </c>
      <c r="G124" t="inlineStr">
        <is>
          <t>GRUMS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45107</v>
      </c>
      <c r="E125" s="1" t="n">
        <v>46224</v>
      </c>
      <c r="F125" t="inlineStr">
        <is>
          <t>VÄRMLANDS LÄN</t>
        </is>
      </c>
      <c r="G125" t="inlineStr">
        <is>
          <t>GRUMS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46224</v>
      </c>
      <c r="F126" t="inlineStr">
        <is>
          <t>VÄRMLANDS LÄN</t>
        </is>
      </c>
      <c r="G126" t="inlineStr">
        <is>
          <t>GRUMS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46224</v>
      </c>
      <c r="F127" t="inlineStr">
        <is>
          <t>VÄRMLANDS LÄN</t>
        </is>
      </c>
      <c r="G127" t="inlineStr">
        <is>
          <t>GRUMS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46224</v>
      </c>
      <c r="F128" t="inlineStr">
        <is>
          <t>VÄRMLANDS LÄN</t>
        </is>
      </c>
      <c r="G128" t="inlineStr">
        <is>
          <t>GRUMS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46224</v>
      </c>
      <c r="F129" t="inlineStr">
        <is>
          <t>VÄRMLANDS LÄN</t>
        </is>
      </c>
      <c r="G129" t="inlineStr">
        <is>
          <t>GRUMS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46224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51509-2025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45950</v>
      </c>
      <c r="E131" s="1" t="n">
        <v>46224</v>
      </c>
      <c r="F131" t="inlineStr">
        <is>
          <t>VÄRMLANDS LÄN</t>
        </is>
      </c>
      <c r="G131" t="inlineStr">
        <is>
          <t>GRUMS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45708</v>
      </c>
      <c r="E132" s="1" t="n">
        <v>46224</v>
      </c>
      <c r="F132" t="inlineStr">
        <is>
          <t>VÄRMLANDS LÄN</t>
        </is>
      </c>
      <c r="G132" t="inlineStr">
        <is>
          <t>GRUMS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46224</v>
      </c>
      <c r="F133" t="inlineStr">
        <is>
          <t>VÄRMLANDS LÄN</t>
        </is>
      </c>
      <c r="G133" t="inlineStr">
        <is>
          <t>GRUMS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46224</v>
      </c>
      <c r="F134" t="inlineStr">
        <is>
          <t>VÄRMLANDS LÄN</t>
        </is>
      </c>
      <c r="G134" t="inlineStr">
        <is>
          <t>GRUMS</t>
        </is>
      </c>
      <c r="I134" t="n">
        <v>13.8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45956</v>
      </c>
      <c r="E135" s="1" t="n">
        <v>46224</v>
      </c>
      <c r="F135" t="inlineStr">
        <is>
          <t>VÄRMLANDS LÄN</t>
        </is>
      </c>
      <c r="G135" t="inlineStr">
        <is>
          <t>GRUMS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69847-2021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46224</v>
      </c>
      <c r="F136" t="inlineStr">
        <is>
          <t>VÄRMLANDS LÄN</t>
        </is>
      </c>
      <c r="G136" t="inlineStr">
        <is>
          <t>GRUMS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46224</v>
      </c>
      <c r="F137" t="inlineStr">
        <is>
          <t>VÄRMLANDS LÄN</t>
        </is>
      </c>
      <c r="G137" t="inlineStr">
        <is>
          <t>GRUMS</t>
        </is>
      </c>
      <c r="H137" t="inlineStr">
        <is>
          <t>Bergvik skog väst AB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45070</v>
      </c>
      <c r="E138" s="1" t="n">
        <v>46224</v>
      </c>
      <c r="F138" t="inlineStr">
        <is>
          <t>VÄRMLANDS LÄN</t>
        </is>
      </c>
      <c r="G138" t="inlineStr">
        <is>
          <t>GRUMS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45877</v>
      </c>
      <c r="E139" s="1" t="n">
        <v>46224</v>
      </c>
      <c r="F139" t="inlineStr">
        <is>
          <t>VÄRMLANDS LÄN</t>
        </is>
      </c>
      <c r="G139" t="inlineStr">
        <is>
          <t>GRUMS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45877</v>
      </c>
      <c r="E140" s="1" t="n">
        <v>46224</v>
      </c>
      <c r="F140" t="inlineStr">
        <is>
          <t>VÄRMLANDS LÄN</t>
        </is>
      </c>
      <c r="G140" t="inlineStr">
        <is>
          <t>GRUMS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45877</v>
      </c>
      <c r="E141" s="1" t="n">
        <v>46224</v>
      </c>
      <c r="F141" t="inlineStr">
        <is>
          <t>VÄRMLANDS LÄN</t>
        </is>
      </c>
      <c r="G141" t="inlineStr">
        <is>
          <t>GRUMS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46039</v>
      </c>
      <c r="E142" s="1" t="n">
        <v>46224</v>
      </c>
      <c r="F142" t="inlineStr">
        <is>
          <t>VÄRMLANDS LÄN</t>
        </is>
      </c>
      <c r="G142" t="inlineStr">
        <is>
          <t>GRUMS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44785</v>
      </c>
      <c r="E143" s="1" t="n">
        <v>46224</v>
      </c>
      <c r="F143" t="inlineStr">
        <is>
          <t>VÄRMLANDS LÄN</t>
        </is>
      </c>
      <c r="G143" t="inlineStr">
        <is>
          <t>GRUMS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45467</v>
      </c>
      <c r="E144" s="1" t="n">
        <v>46224</v>
      </c>
      <c r="F144" t="inlineStr">
        <is>
          <t>VÄRMLANDS LÄN</t>
        </is>
      </c>
      <c r="G144" t="inlineStr">
        <is>
          <t>GRUMS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46224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46224</v>
      </c>
      <c r="F146" t="inlineStr">
        <is>
          <t>VÄRMLANDS LÄN</t>
        </is>
      </c>
      <c r="G146" t="inlineStr">
        <is>
          <t>GRUMS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37676-2023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45159</v>
      </c>
      <c r="E147" s="1" t="n">
        <v>46224</v>
      </c>
      <c r="F147" t="inlineStr">
        <is>
          <t>VÄRMLANDS LÄN</t>
        </is>
      </c>
      <c r="G147" t="inlineStr">
        <is>
          <t>GRUMS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46224</v>
      </c>
      <c r="F148" t="inlineStr">
        <is>
          <t>VÄRMLANDS LÄN</t>
        </is>
      </c>
      <c r="G148" t="inlineStr">
        <is>
          <t>GRUMS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45217</v>
      </c>
      <c r="E149" s="1" t="n">
        <v>46224</v>
      </c>
      <c r="F149" t="inlineStr">
        <is>
          <t>VÄRMLANDS LÄN</t>
        </is>
      </c>
      <c r="G149" t="inlineStr">
        <is>
          <t>GRUMS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44795</v>
      </c>
      <c r="E150" s="1" t="n">
        <v>46224</v>
      </c>
      <c r="F150" t="inlineStr">
        <is>
          <t>VÄRMLANDS LÄN</t>
        </is>
      </c>
      <c r="G150" t="inlineStr">
        <is>
          <t>GRUMS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44635</v>
      </c>
      <c r="E151" s="1" t="n">
        <v>46224</v>
      </c>
      <c r="F151" t="inlineStr">
        <is>
          <t>VÄRMLANDS LÄN</t>
        </is>
      </c>
      <c r="G151" t="inlineStr">
        <is>
          <t>GRUMS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46224</v>
      </c>
      <c r="F152" t="inlineStr">
        <is>
          <t>VÄRMLANDS LÄN</t>
        </is>
      </c>
      <c r="G152" t="inlineStr">
        <is>
          <t>GRUMS</t>
        </is>
      </c>
      <c r="I152" t="n">
        <v>13.7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46224</v>
      </c>
      <c r="F153" t="inlineStr">
        <is>
          <t>VÄRMLANDS LÄN</t>
        </is>
      </c>
      <c r="G153" t="inlineStr">
        <is>
          <t>GRUMS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44797</v>
      </c>
      <c r="E154" s="1" t="n">
        <v>46224</v>
      </c>
      <c r="F154" t="inlineStr">
        <is>
          <t>VÄRMLANDS LÄN</t>
        </is>
      </c>
      <c r="G154" t="inlineStr">
        <is>
          <t>GRUMS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46224</v>
      </c>
      <c r="F155" t="inlineStr">
        <is>
          <t>VÄRMLANDS LÄN</t>
        </is>
      </c>
      <c r="G155" t="inlineStr">
        <is>
          <t>GRUMS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46224</v>
      </c>
      <c r="F156" t="inlineStr">
        <is>
          <t>VÄRMLANDS LÄN</t>
        </is>
      </c>
      <c r="G156" t="inlineStr">
        <is>
          <t>GRUMS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31362-2024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45505</v>
      </c>
      <c r="E157" s="1" t="n">
        <v>46224</v>
      </c>
      <c r="F157" t="inlineStr">
        <is>
          <t>VÄRMLANDS LÄN</t>
        </is>
      </c>
      <c r="G157" t="inlineStr">
        <is>
          <t>GRUMS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46224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46224</v>
      </c>
      <c r="F159" t="inlineStr">
        <is>
          <t>VÄRMLANDS LÄN</t>
        </is>
      </c>
      <c r="G159" t="inlineStr">
        <is>
          <t>GRUMS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45412</v>
      </c>
      <c r="E160" s="1" t="n">
        <v>46224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46224</v>
      </c>
      <c r="F161" t="inlineStr">
        <is>
          <t>VÄRMLANDS LÄN</t>
        </is>
      </c>
      <c r="G161" t="inlineStr">
        <is>
          <t>GRUMS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44845</v>
      </c>
      <c r="E162" s="1" t="n">
        <v>46224</v>
      </c>
      <c r="F162" t="inlineStr">
        <is>
          <t>VÄRMLANDS LÄN</t>
        </is>
      </c>
      <c r="G162" t="inlineStr">
        <is>
          <t>GRUMS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46224</v>
      </c>
      <c r="F163" t="inlineStr">
        <is>
          <t>VÄRMLANDS LÄN</t>
        </is>
      </c>
      <c r="G163" t="inlineStr">
        <is>
          <t>GRUMS</t>
        </is>
      </c>
      <c r="I163" t="n">
        <v>22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46224</v>
      </c>
      <c r="F164" t="inlineStr">
        <is>
          <t>VÄRMLANDS LÄN</t>
        </is>
      </c>
      <c r="G164" t="inlineStr">
        <is>
          <t>GRUMS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45358</v>
      </c>
      <c r="E165" s="1" t="n">
        <v>46224</v>
      </c>
      <c r="F165" t="inlineStr">
        <is>
          <t>VÄRMLANDS LÄN</t>
        </is>
      </c>
      <c r="G165" t="inlineStr">
        <is>
          <t>GRUMS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46224</v>
      </c>
      <c r="F166" t="inlineStr">
        <is>
          <t>VÄRMLANDS LÄN</t>
        </is>
      </c>
      <c r="G166" t="inlineStr">
        <is>
          <t>GRUMS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46087</v>
      </c>
      <c r="E167" s="1" t="n">
        <v>46224</v>
      </c>
      <c r="F167" t="inlineStr">
        <is>
          <t>VÄRMLANDS LÄN</t>
        </is>
      </c>
      <c r="G167" t="inlineStr">
        <is>
          <t>GRUMS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45329</v>
      </c>
      <c r="E168" s="1" t="n">
        <v>46224</v>
      </c>
      <c r="F168" t="inlineStr">
        <is>
          <t>VÄRMLANDS LÄN</t>
        </is>
      </c>
      <c r="G168" t="inlineStr">
        <is>
          <t>GRUMS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46224</v>
      </c>
      <c r="F169" t="inlineStr">
        <is>
          <t>VÄRMLANDS LÄN</t>
        </is>
      </c>
      <c r="G169" t="inlineStr">
        <is>
          <t>GRUMS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31930-2024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45510</v>
      </c>
      <c r="E170" s="1" t="n">
        <v>46224</v>
      </c>
      <c r="F170" t="inlineStr">
        <is>
          <t>VÄRMLANDS LÄN</t>
        </is>
      </c>
      <c r="G170" t="inlineStr">
        <is>
          <t>GRUMS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71706-2021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46224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40935-2022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44823</v>
      </c>
      <c r="E172" s="1" t="n">
        <v>46224</v>
      </c>
      <c r="F172" t="inlineStr">
        <is>
          <t>VÄRMLANDS LÄN</t>
        </is>
      </c>
      <c r="G172" t="inlineStr">
        <is>
          <t>GRUMS</t>
        </is>
      </c>
      <c r="H172" t="inlineStr">
        <is>
          <t>Bergvik skog väst AB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14688-2026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46101</v>
      </c>
      <c r="E173" s="1" t="n">
        <v>46224</v>
      </c>
      <c r="F173" t="inlineStr">
        <is>
          <t>VÄRMLANDS LÄN</t>
        </is>
      </c>
      <c r="G173" t="inlineStr">
        <is>
          <t>GRUMS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45343</v>
      </c>
      <c r="E174" s="1" t="n">
        <v>46224</v>
      </c>
      <c r="F174" t="inlineStr">
        <is>
          <t>VÄRMLANDS LÄN</t>
        </is>
      </c>
      <c r="G174" t="inlineStr">
        <is>
          <t>GRUMS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46224</v>
      </c>
      <c r="F175" t="inlineStr">
        <is>
          <t>VÄRMLANDS LÄN</t>
        </is>
      </c>
      <c r="G175" t="inlineStr">
        <is>
          <t>GRUMS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46106</v>
      </c>
      <c r="E176" s="1" t="n">
        <v>46224</v>
      </c>
      <c r="F176" t="inlineStr">
        <is>
          <t>VÄRMLANDS LÄN</t>
        </is>
      </c>
      <c r="G176" t="inlineStr">
        <is>
          <t>GRUMS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45011</v>
      </c>
      <c r="E177" s="1" t="n">
        <v>46224</v>
      </c>
      <c r="F177" t="inlineStr">
        <is>
          <t>VÄRMLANDS LÄN</t>
        </is>
      </c>
      <c r="G177" t="inlineStr">
        <is>
          <t>GRUMS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46224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46224</v>
      </c>
      <c r="F179" t="inlineStr">
        <is>
          <t>VÄRMLANDS LÄN</t>
        </is>
      </c>
      <c r="G179" t="inlineStr">
        <is>
          <t>GRUMS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46224</v>
      </c>
      <c r="F180" t="inlineStr">
        <is>
          <t>VÄRMLANDS LÄN</t>
        </is>
      </c>
      <c r="G180" t="inlineStr">
        <is>
          <t>GRUMS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46224</v>
      </c>
      <c r="F181" t="inlineStr">
        <is>
          <t>VÄRMLANDS LÄN</t>
        </is>
      </c>
      <c r="G181" t="inlineStr">
        <is>
          <t>GRUMS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62554-2022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46224</v>
      </c>
      <c r="F182" t="inlineStr">
        <is>
          <t>VÄRMLANDS LÄN</t>
        </is>
      </c>
      <c r="G182" t="inlineStr">
        <is>
          <t>GRUMS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45441</v>
      </c>
      <c r="E183" s="1" t="n">
        <v>46224</v>
      </c>
      <c r="F183" t="inlineStr">
        <is>
          <t>VÄRMLANDS LÄN</t>
        </is>
      </c>
      <c r="G183" t="inlineStr">
        <is>
          <t>GRUMS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46224</v>
      </c>
      <c r="F184" t="inlineStr">
        <is>
          <t>VÄRMLANDS LÄN</t>
        </is>
      </c>
      <c r="G184" t="inlineStr">
        <is>
          <t>GRUMS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45427</v>
      </c>
      <c r="E185" s="1" t="n">
        <v>46224</v>
      </c>
      <c r="F185" t="inlineStr">
        <is>
          <t>VÄRMLANDS LÄN</t>
        </is>
      </c>
      <c r="G185" t="inlineStr">
        <is>
          <t>GRUMS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46132</v>
      </c>
      <c r="E186" s="1" t="n">
        <v>46224</v>
      </c>
      <c r="F186" t="inlineStr">
        <is>
          <t>VÄRMLANDS LÄN</t>
        </is>
      </c>
      <c r="G186" t="inlineStr">
        <is>
          <t>GRUMS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44627</v>
      </c>
      <c r="E187" s="1" t="n">
        <v>46224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44753</v>
      </c>
      <c r="E188" s="1" t="n">
        <v>46224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14.4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46224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46224</v>
      </c>
      <c r="F190" t="inlineStr">
        <is>
          <t>VÄRMLANDS LÄN</t>
        </is>
      </c>
      <c r="G190" t="inlineStr">
        <is>
          <t>GRUMS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46224</v>
      </c>
      <c r="F191" t="inlineStr">
        <is>
          <t>VÄRMLANDS LÄN</t>
        </is>
      </c>
      <c r="G191" t="inlineStr">
        <is>
          <t>GRUMS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43242-2021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44432</v>
      </c>
      <c r="E192" s="1" t="n">
        <v>46224</v>
      </c>
      <c r="F192" t="inlineStr">
        <is>
          <t>VÄRMLANDS LÄN</t>
        </is>
      </c>
      <c r="G192" t="inlineStr">
        <is>
          <t>GRUMS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46224</v>
      </c>
      <c r="F193" t="inlineStr">
        <is>
          <t>VÄRMLANDS LÄN</t>
        </is>
      </c>
      <c r="G193" t="inlineStr">
        <is>
          <t>GRUMS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46224</v>
      </c>
      <c r="F194" t="inlineStr">
        <is>
          <t>VÄRMLANDS LÄN</t>
        </is>
      </c>
      <c r="G194" t="inlineStr">
        <is>
          <t>GRUMS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45904</v>
      </c>
      <c r="E195" s="1" t="n">
        <v>46224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44809</v>
      </c>
      <c r="E196" s="1" t="n">
        <v>46224</v>
      </c>
      <c r="F196" t="inlineStr">
        <is>
          <t>VÄRMLANDS LÄN</t>
        </is>
      </c>
      <c r="G196" t="inlineStr">
        <is>
          <t>GRUMS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45776</v>
      </c>
      <c r="E197" s="1" t="n">
        <v>46224</v>
      </c>
      <c r="F197" t="inlineStr">
        <is>
          <t>VÄRMLANDS LÄN</t>
        </is>
      </c>
      <c r="G197" t="inlineStr">
        <is>
          <t>GRUMS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44847</v>
      </c>
      <c r="E198" s="1" t="n">
        <v>46224</v>
      </c>
      <c r="F198" t="inlineStr">
        <is>
          <t>VÄRMLANDS LÄN</t>
        </is>
      </c>
      <c r="G198" t="inlineStr">
        <is>
          <t>GRUMS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46224</v>
      </c>
      <c r="F199" t="inlineStr">
        <is>
          <t>VÄRMLANDS LÄN</t>
        </is>
      </c>
      <c r="G199" t="inlineStr">
        <is>
          <t>GRUMS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46224</v>
      </c>
      <c r="F200" t="inlineStr">
        <is>
          <t>VÄRMLANDS LÄN</t>
        </is>
      </c>
      <c r="G200" t="inlineStr">
        <is>
          <t>GRUMS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21248-2022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44705</v>
      </c>
      <c r="E201" s="1" t="n">
        <v>46224</v>
      </c>
      <c r="F201" t="inlineStr">
        <is>
          <t>VÄRMLANDS LÄN</t>
        </is>
      </c>
      <c r="G201" t="inlineStr">
        <is>
          <t>GRUMS</t>
        </is>
      </c>
      <c r="I201" t="n">
        <v>12.4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46224</v>
      </c>
      <c r="F202" t="inlineStr">
        <is>
          <t>VÄRMLANDS LÄN</t>
        </is>
      </c>
      <c r="G202" t="inlineStr">
        <is>
          <t>GRUMS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46224</v>
      </c>
      <c r="F203" t="inlineStr">
        <is>
          <t>VÄRMLANDS LÄN</t>
        </is>
      </c>
      <c r="G203" t="inlineStr">
        <is>
          <t>GRUMS</t>
        </is>
      </c>
      <c r="H203" t="inlineStr">
        <is>
          <t>Bergvik skog väst AB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45240</v>
      </c>
      <c r="E204" s="1" t="n">
        <v>46224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46224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45391</v>
      </c>
      <c r="E206" s="1" t="n">
        <v>46224</v>
      </c>
      <c r="F206" t="inlineStr">
        <is>
          <t>VÄRMLANDS LÄN</t>
        </is>
      </c>
      <c r="G206" t="inlineStr">
        <is>
          <t>GRUMS</t>
        </is>
      </c>
      <c r="H206" t="inlineStr">
        <is>
          <t>Bergvik skog väst AB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29724-2023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45107</v>
      </c>
      <c r="E207" s="1" t="n">
        <v>46224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45691</v>
      </c>
      <c r="E208" s="1" t="n">
        <v>46224</v>
      </c>
      <c r="F208" t="inlineStr">
        <is>
          <t>VÄRMLANDS LÄN</t>
        </is>
      </c>
      <c r="G208" t="inlineStr">
        <is>
          <t>GRUMS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46224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46224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46224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46224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44608</v>
      </c>
      <c r="E213" s="1" t="n">
        <v>46224</v>
      </c>
      <c r="F213" t="inlineStr">
        <is>
          <t>VÄRMLANDS LÄN</t>
        </is>
      </c>
      <c r="G213" t="inlineStr">
        <is>
          <t>GRUMS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46224</v>
      </c>
      <c r="F214" t="inlineStr">
        <is>
          <t>VÄRMLANDS LÄN</t>
        </is>
      </c>
      <c r="G214" t="inlineStr">
        <is>
          <t>GRUMS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46224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45124</v>
      </c>
      <c r="E216" s="1" t="n">
        <v>46224</v>
      </c>
      <c r="F216" t="inlineStr">
        <is>
          <t>VÄRMLANDS LÄN</t>
        </is>
      </c>
      <c r="G216" t="inlineStr">
        <is>
          <t>GRUMS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46224</v>
      </c>
      <c r="F217" t="inlineStr">
        <is>
          <t>VÄRMLANDS LÄN</t>
        </is>
      </c>
      <c r="G217" t="inlineStr">
        <is>
          <t>GRUMS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55227-2023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46224</v>
      </c>
      <c r="F218" t="inlineStr">
        <is>
          <t>VÄRMLANDS LÄN</t>
        </is>
      </c>
      <c r="G218" t="inlineStr">
        <is>
          <t>GRUMS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45461</v>
      </c>
      <c r="E219" s="1" t="n">
        <v>46224</v>
      </c>
      <c r="F219" t="inlineStr">
        <is>
          <t>VÄRMLANDS LÄN</t>
        </is>
      </c>
      <c r="G219" t="inlineStr">
        <is>
          <t>GRUMS</t>
        </is>
      </c>
      <c r="I219" t="n">
        <v>12.8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46224</v>
      </c>
      <c r="F220" t="inlineStr">
        <is>
          <t>VÄRMLANDS LÄN</t>
        </is>
      </c>
      <c r="G220" t="inlineStr">
        <is>
          <t>GRUMS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45377</v>
      </c>
      <c r="E221" s="1" t="n">
        <v>46224</v>
      </c>
      <c r="F221" t="inlineStr">
        <is>
          <t>VÄRMLANDS LÄN</t>
        </is>
      </c>
      <c r="G221" t="inlineStr">
        <is>
          <t>GRUMS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46224</v>
      </c>
      <c r="F222" t="inlineStr">
        <is>
          <t>VÄRMLANDS LÄN</t>
        </is>
      </c>
      <c r="G222" t="inlineStr">
        <is>
          <t>GRUMS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46224</v>
      </c>
      <c r="F223" t="inlineStr">
        <is>
          <t>VÄRMLANDS LÄN</t>
        </is>
      </c>
      <c r="G223" t="inlineStr">
        <is>
          <t>GRUMS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45280</v>
      </c>
      <c r="E224" s="1" t="n">
        <v>46224</v>
      </c>
      <c r="F224" t="inlineStr">
        <is>
          <t>VÄRMLANDS LÄN</t>
        </is>
      </c>
      <c r="G224" t="inlineStr">
        <is>
          <t>GRUMS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45208</v>
      </c>
      <c r="E225" s="1" t="n">
        <v>46224</v>
      </c>
      <c r="F225" t="inlineStr">
        <is>
          <t>VÄRMLANDS LÄN</t>
        </is>
      </c>
      <c r="G225" t="inlineStr">
        <is>
          <t>GRUMS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46224</v>
      </c>
      <c r="F226" t="inlineStr">
        <is>
          <t>VÄRMLANDS LÄN</t>
        </is>
      </c>
      <c r="G226" t="inlineStr">
        <is>
          <t>GRUMS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46224</v>
      </c>
      <c r="F227" t="inlineStr">
        <is>
          <t>VÄRMLANDS LÄN</t>
        </is>
      </c>
      <c r="G227" t="inlineStr">
        <is>
          <t>GRUMS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45089</v>
      </c>
      <c r="E228" s="1" t="n">
        <v>46224</v>
      </c>
      <c r="F228" t="inlineStr">
        <is>
          <t>VÄRMLANDS LÄN</t>
        </is>
      </c>
      <c r="G228" t="inlineStr">
        <is>
          <t>GRUMS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46224</v>
      </c>
      <c r="F229" t="inlineStr">
        <is>
          <t>VÄRMLANDS LÄN</t>
        </is>
      </c>
      <c r="G229" t="inlineStr">
        <is>
          <t>GRUMS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66056-2021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46224</v>
      </c>
      <c r="F230" t="inlineStr">
        <is>
          <t>VÄRMLANDS LÄN</t>
        </is>
      </c>
      <c r="G230" t="inlineStr">
        <is>
          <t>GRUMS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45450</v>
      </c>
      <c r="E231" s="1" t="n">
        <v>46224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46224</v>
      </c>
      <c r="F232" t="inlineStr">
        <is>
          <t>VÄRMLANDS LÄN</t>
        </is>
      </c>
      <c r="G232" t="inlineStr">
        <is>
          <t>GRUMS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7991-2024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46224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46224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46224</v>
      </c>
      <c r="F235" t="inlineStr">
        <is>
          <t>VÄRMLANDS LÄN</t>
        </is>
      </c>
      <c r="G235" t="inlineStr">
        <is>
          <t>GRUMS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46224</v>
      </c>
      <c r="F236" t="inlineStr">
        <is>
          <t>VÄRMLANDS LÄN</t>
        </is>
      </c>
      <c r="G236" t="inlineStr">
        <is>
          <t>GRUMS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52848-2021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46224</v>
      </c>
      <c r="F237" t="inlineStr">
        <is>
          <t>VÄRMLANDS LÄN</t>
        </is>
      </c>
      <c r="G237" t="inlineStr">
        <is>
          <t>GRUMS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46224</v>
      </c>
      <c r="F238" t="inlineStr">
        <is>
          <t>VÄRMLANDS LÄN</t>
        </is>
      </c>
      <c r="G238" t="inlineStr">
        <is>
          <t>GRUMS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71903-2021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44543</v>
      </c>
      <c r="E239" s="1" t="n">
        <v>46224</v>
      </c>
      <c r="F239" t="inlineStr">
        <is>
          <t>VÄRMLANDS LÄN</t>
        </is>
      </c>
      <c r="G239" t="inlineStr">
        <is>
          <t>GRUMS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46224</v>
      </c>
      <c r="F240" t="inlineStr">
        <is>
          <t>VÄRMLANDS LÄN</t>
        </is>
      </c>
      <c r="G240" t="inlineStr">
        <is>
          <t>GRUMS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45681</v>
      </c>
      <c r="E241" s="1" t="n">
        <v>46224</v>
      </c>
      <c r="F241" t="inlineStr">
        <is>
          <t>VÄRMLANDS LÄN</t>
        </is>
      </c>
      <c r="G241" t="inlineStr">
        <is>
          <t>GRUMS</t>
        </is>
      </c>
      <c r="H241" t="inlineStr">
        <is>
          <t>BillerudKorsnäs AB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46224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73310-2021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44547</v>
      </c>
      <c r="E243" s="1" t="n">
        <v>46224</v>
      </c>
      <c r="F243" t="inlineStr">
        <is>
          <t>VÄRMLANDS LÄN</t>
        </is>
      </c>
      <c r="G243" t="inlineStr">
        <is>
          <t>GRUMS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71781-2021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44539</v>
      </c>
      <c r="E244" s="1" t="n">
        <v>46224</v>
      </c>
      <c r="F244" t="inlineStr">
        <is>
          <t>VÄRMLANDS LÄN</t>
        </is>
      </c>
      <c r="G244" t="inlineStr">
        <is>
          <t>GRUMS</t>
        </is>
      </c>
      <c r="H244" t="inlineStr">
        <is>
          <t>Bergvik skog väst AB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45708</v>
      </c>
      <c r="E245" s="1" t="n">
        <v>46224</v>
      </c>
      <c r="F245" t="inlineStr">
        <is>
          <t>VÄRMLANDS LÄN</t>
        </is>
      </c>
      <c r="G245" t="inlineStr">
        <is>
          <t>GRUMS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46224</v>
      </c>
      <c r="F246" t="inlineStr">
        <is>
          <t>VÄRMLANDS LÄN</t>
        </is>
      </c>
      <c r="G246" t="inlineStr">
        <is>
          <t>GRUMS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46167</v>
      </c>
      <c r="E247" s="1" t="n">
        <v>46224</v>
      </c>
      <c r="F247" t="inlineStr">
        <is>
          <t>VÄRMLANDS LÄN</t>
        </is>
      </c>
      <c r="G247" t="inlineStr">
        <is>
          <t>GRUMS</t>
        </is>
      </c>
      <c r="H247" t="inlineStr">
        <is>
          <t>Kommuner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44762</v>
      </c>
      <c r="E248" s="1" t="n">
        <v>46224</v>
      </c>
      <c r="F248" t="inlineStr">
        <is>
          <t>VÄRMLANDS LÄN</t>
        </is>
      </c>
      <c r="G248" t="inlineStr">
        <is>
          <t>GRUMS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46224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45757</v>
      </c>
      <c r="E250" s="1" t="n">
        <v>46224</v>
      </c>
      <c r="F250" t="inlineStr">
        <is>
          <t>VÄRMLANDS LÄN</t>
        </is>
      </c>
      <c r="G250" t="inlineStr">
        <is>
          <t>GRUMS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46224</v>
      </c>
      <c r="F251" t="inlineStr">
        <is>
          <t>VÄRMLANDS LÄN</t>
        </is>
      </c>
      <c r="G251" t="inlineStr">
        <is>
          <t>GRUMS</t>
        </is>
      </c>
      <c r="H251" t="inlineStr">
        <is>
          <t>Kommuner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46224</v>
      </c>
      <c r="F252" t="inlineStr">
        <is>
          <t>VÄRMLANDS LÄN</t>
        </is>
      </c>
      <c r="G252" t="inlineStr">
        <is>
          <t>GRUMS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46224</v>
      </c>
      <c r="F253" t="inlineStr">
        <is>
          <t>VÄRMLANDS LÄN</t>
        </is>
      </c>
      <c r="G253" t="inlineStr">
        <is>
          <t>GRUMS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46224</v>
      </c>
      <c r="F254" t="inlineStr">
        <is>
          <t>VÄRMLANDS LÄN</t>
        </is>
      </c>
      <c r="G254" t="inlineStr">
        <is>
          <t>GRUMS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32959-2022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46224</v>
      </c>
      <c r="F255" t="inlineStr">
        <is>
          <t>VÄRMLANDS LÄN</t>
        </is>
      </c>
      <c r="G255" t="inlineStr">
        <is>
          <t>GRUMS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46224</v>
      </c>
      <c r="F256" t="inlineStr">
        <is>
          <t>VÄRMLANDS LÄN</t>
        </is>
      </c>
      <c r="G256" t="inlineStr">
        <is>
          <t>GRUMS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45435</v>
      </c>
      <c r="E257" s="1" t="n">
        <v>46224</v>
      </c>
      <c r="F257" t="inlineStr">
        <is>
          <t>VÄRMLANDS LÄN</t>
        </is>
      </c>
      <c r="G257" t="inlineStr">
        <is>
          <t>GRUMS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46224</v>
      </c>
      <c r="F258" t="inlineStr">
        <is>
          <t>VÄRMLANDS LÄN</t>
        </is>
      </c>
      <c r="G258" t="inlineStr">
        <is>
          <t>GRUMS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46224</v>
      </c>
      <c r="F259" t="inlineStr">
        <is>
          <t>VÄRMLANDS LÄN</t>
        </is>
      </c>
      <c r="G259" t="inlineStr">
        <is>
          <t>GRUMS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46214</v>
      </c>
      <c r="E260" s="1" t="n">
        <v>46224</v>
      </c>
      <c r="F260" t="inlineStr">
        <is>
          <t>VÄRMLANDS LÄN</t>
        </is>
      </c>
      <c r="G260" t="inlineStr">
        <is>
          <t>GRUMS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46224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46171</v>
      </c>
      <c r="E262" s="1" t="n">
        <v>46224</v>
      </c>
      <c r="F262" t="inlineStr">
        <is>
          <t>VÄRMLANDS LÄN</t>
        </is>
      </c>
      <c r="G262" t="inlineStr">
        <is>
          <t>GRUMS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63919-2021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46224</v>
      </c>
      <c r="F263" t="inlineStr">
        <is>
          <t>VÄRMLANDS LÄN</t>
        </is>
      </c>
      <c r="G263" t="inlineStr">
        <is>
          <t>GRUMS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45329</v>
      </c>
      <c r="E264" s="1" t="n">
        <v>46224</v>
      </c>
      <c r="F264" t="inlineStr">
        <is>
          <t>VÄRMLANDS LÄN</t>
        </is>
      </c>
      <c r="G264" t="inlineStr">
        <is>
          <t>GRUMS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45153</v>
      </c>
      <c r="E265" s="1" t="n">
        <v>46224</v>
      </c>
      <c r="F265" t="inlineStr">
        <is>
          <t>VÄRMLANDS LÄN</t>
        </is>
      </c>
      <c r="G265" t="inlineStr">
        <is>
          <t>GRUMS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26015-2026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46181</v>
      </c>
      <c r="E266" s="1" t="n">
        <v>46224</v>
      </c>
      <c r="F266" t="inlineStr">
        <is>
          <t>VÄRMLANDS LÄN</t>
        </is>
      </c>
      <c r="G266" t="inlineStr">
        <is>
          <t>GRUMS</t>
        </is>
      </c>
      <c r="H266" t="inlineStr">
        <is>
          <t>Kommuner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22822-2024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45448</v>
      </c>
      <c r="E267" s="1" t="n">
        <v>46224</v>
      </c>
      <c r="F267" t="inlineStr">
        <is>
          <t>VÄRMLANDS LÄN</t>
        </is>
      </c>
      <c r="G267" t="inlineStr">
        <is>
          <t>GRUMS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46224</v>
      </c>
      <c r="F268" t="inlineStr">
        <is>
          <t>VÄRMLANDS LÄN</t>
        </is>
      </c>
      <c r="G268" t="inlineStr">
        <is>
          <t>GRUMS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46224</v>
      </c>
      <c r="F269" t="inlineStr">
        <is>
          <t>VÄRMLANDS LÄN</t>
        </is>
      </c>
      <c r="G269" t="inlineStr">
        <is>
          <t>GRUMS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46224</v>
      </c>
      <c r="F270" t="inlineStr">
        <is>
          <t>VÄRMLANDS LÄN</t>
        </is>
      </c>
      <c r="G270" t="inlineStr">
        <is>
          <t>GRUMS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39145-2021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44412</v>
      </c>
      <c r="E271" s="1" t="n">
        <v>46224</v>
      </c>
      <c r="F271" t="inlineStr">
        <is>
          <t>VÄRMLANDS LÄN</t>
        </is>
      </c>
      <c r="G271" t="inlineStr">
        <is>
          <t>GRUMS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46224</v>
      </c>
      <c r="F272" t="inlineStr">
        <is>
          <t>VÄRMLANDS LÄN</t>
        </is>
      </c>
      <c r="G272" t="inlineStr">
        <is>
          <t>GRUMS</t>
        </is>
      </c>
      <c r="H272" t="inlineStr">
        <is>
          <t>Bergvik skog väst AB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46224</v>
      </c>
      <c r="F273" t="inlineStr">
        <is>
          <t>VÄRMLANDS LÄN</t>
        </is>
      </c>
      <c r="G273" t="inlineStr">
        <is>
          <t>GRUMS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46224</v>
      </c>
      <c r="F274" t="inlineStr">
        <is>
          <t>VÄRMLANDS LÄN</t>
        </is>
      </c>
      <c r="G274" t="inlineStr">
        <is>
          <t>GRUMS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45785</v>
      </c>
      <c r="E275" s="1" t="n">
        <v>46224</v>
      </c>
      <c r="F275" t="inlineStr">
        <is>
          <t>VÄRMLANDS LÄN</t>
        </is>
      </c>
      <c r="G275" t="inlineStr">
        <is>
          <t>GRUMS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22537-2025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45787</v>
      </c>
      <c r="E276" s="1" t="n">
        <v>46224</v>
      </c>
      <c r="F276" t="inlineStr">
        <is>
          <t>VÄRMLANDS LÄN</t>
        </is>
      </c>
      <c r="G276" t="inlineStr">
        <is>
          <t>GRUMS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46224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46224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46224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46224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46224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2026-07-21T01:37:38Z</dcterms:created>
  <dcterms:modified xmlns:dcterms="http://purl.org/dc/terms/" xmlns:xsi="http://www.w3.org/2001/XMLSchema-instance" xsi:type="dcterms:W3CDTF">2026-07-21T01:37:39Z</dcterms:modified>
</cp:coreProperties>
</file>