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45828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45828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45828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45828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45828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45828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45828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45828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45828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45828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45828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45828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45828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45828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45828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45828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45828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45828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45828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45828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45828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45828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45828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45828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45828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30406-2025</t>
        </is>
      </c>
      <c r="B27" s="1" t="n">
        <v>45827</v>
      </c>
      <c r="C27" s="1" t="n">
        <v>45828</v>
      </c>
      <c r="D27" t="inlineStr">
        <is>
          <t>VÄRMLANDS LÄN</t>
        </is>
      </c>
      <c r="E27" t="inlineStr">
        <is>
          <t>GRUMS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HYPERLINK("https://klasma.github.io/Logging_171764/artfynd/A 30406-2025 artfynd.xlsx", "A 30406-2025")</f>
        <v/>
      </c>
      <c r="T27">
        <f>HYPERLINK("https://klasma.github.io/Logging_171764/kartor/A 30406-2025 karta.png", "A 30406-2025")</f>
        <v/>
      </c>
      <c r="V27">
        <f>HYPERLINK("https://klasma.github.io/Logging_171764/klagomål/A 30406-2025 FSC-klagomål.docx", "A 30406-2025")</f>
        <v/>
      </c>
      <c r="W27">
        <f>HYPERLINK("https://klasma.github.io/Logging_171764/klagomålsmail/A 30406-2025 FSC-klagomål mail.docx", "A 30406-2025")</f>
        <v/>
      </c>
      <c r="X27">
        <f>HYPERLINK("https://klasma.github.io/Logging_171764/tillsyn/A 30406-2025 tillsynsbegäran.docx", "A 30406-2025")</f>
        <v/>
      </c>
      <c r="Y27">
        <f>HYPERLINK("https://klasma.github.io/Logging_171764/tillsynsmail/A 30406-2025 tillsynsbegäran mail.docx", "A 30406-2025")</f>
        <v/>
      </c>
      <c r="Z27">
        <f>HYPERLINK("https://klasma.github.io/Logging_171764/fåglar/A 30406-2025 prioriterade fågelarter.docx", "A 30406-2025")</f>
        <v/>
      </c>
    </row>
    <row r="28" ht="15" customHeight="1">
      <c r="A28" t="inlineStr">
        <is>
          <t>A 17868-2019</t>
        </is>
      </c>
      <c r="B28" s="1" t="n">
        <v>43557</v>
      </c>
      <c r="C28" s="1" t="n">
        <v>45828</v>
      </c>
      <c r="D28" t="inlineStr">
        <is>
          <t>VÄRMLANDS LÄN</t>
        </is>
      </c>
      <c r="E28" t="inlineStr">
        <is>
          <t>GRUMS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18549-2019</t>
        </is>
      </c>
      <c r="B29" s="1" t="n">
        <v>43559</v>
      </c>
      <c r="C29" s="1" t="n">
        <v>45828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18773-2019</t>
        </is>
      </c>
      <c r="B30" s="1" t="n">
        <v>43561</v>
      </c>
      <c r="C30" s="1" t="n">
        <v>45828</v>
      </c>
      <c r="D30" t="inlineStr">
        <is>
          <t>VÄRMLANDS LÄN</t>
        </is>
      </c>
      <c r="E30" t="inlineStr">
        <is>
          <t>GRUMS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18881-2019</t>
        </is>
      </c>
      <c r="B31" s="1" t="n">
        <v>43563</v>
      </c>
      <c r="C31" s="1" t="n">
        <v>45828</v>
      </c>
      <c r="D31" t="inlineStr">
        <is>
          <t>VÄRMLANDS LÄN</t>
        </is>
      </c>
      <c r="E31" t="inlineStr">
        <is>
          <t>GRUMS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19148-2019</t>
        </is>
      </c>
      <c r="B32" s="1" t="n">
        <v>43564</v>
      </c>
      <c r="C32" s="1" t="n">
        <v>45828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19144-2019</t>
        </is>
      </c>
      <c r="B33" s="1" t="n">
        <v>43564</v>
      </c>
      <c r="C33" s="1" t="n">
        <v>45828</v>
      </c>
      <c r="D33" t="inlineStr">
        <is>
          <t>VÄRMLANDS LÄN</t>
        </is>
      </c>
      <c r="E33" t="inlineStr">
        <is>
          <t>GRUMS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20772-2019</t>
        </is>
      </c>
      <c r="B34" s="1" t="n">
        <v>43573</v>
      </c>
      <c r="C34" s="1" t="n">
        <v>45828</v>
      </c>
      <c r="D34" t="inlineStr">
        <is>
          <t>VÄRMLANDS LÄN</t>
        </is>
      </c>
      <c r="E34" t="inlineStr">
        <is>
          <t>GRUMS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21301-2019</t>
        </is>
      </c>
      <c r="B35" s="1" t="n">
        <v>43579</v>
      </c>
      <c r="C35" s="1" t="n">
        <v>45828</v>
      </c>
      <c r="D35" t="inlineStr">
        <is>
          <t>VÄRMLANDS LÄN</t>
        </is>
      </c>
      <c r="E35" t="inlineStr">
        <is>
          <t>GRUMS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22342-2019</t>
        </is>
      </c>
      <c r="B36" s="1" t="n">
        <v>43587</v>
      </c>
      <c r="C36" s="1" t="n">
        <v>45828</v>
      </c>
      <c r="D36" t="inlineStr">
        <is>
          <t>VÄRMLANDS LÄN</t>
        </is>
      </c>
      <c r="E36" t="inlineStr">
        <is>
          <t>GRUMS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22657-2019</t>
        </is>
      </c>
      <c r="B37" s="1" t="n">
        <v>43588</v>
      </c>
      <c r="C37" s="1" t="n">
        <v>45828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22654-2019</t>
        </is>
      </c>
      <c r="B38" s="1" t="n">
        <v>43588</v>
      </c>
      <c r="C38" s="1" t="n">
        <v>45828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22840-2019</t>
        </is>
      </c>
      <c r="B39" s="1" t="n">
        <v>43591</v>
      </c>
      <c r="C39" s="1" t="n">
        <v>45828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24290-2019</t>
        </is>
      </c>
      <c r="B40" s="1" t="n">
        <v>43599</v>
      </c>
      <c r="C40" s="1" t="n">
        <v>45828</v>
      </c>
      <c r="D40" t="inlineStr">
        <is>
          <t>VÄRMLANDS LÄN</t>
        </is>
      </c>
      <c r="E40" t="inlineStr">
        <is>
          <t>GRUMS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24733-2019</t>
        </is>
      </c>
      <c r="B41" s="1" t="n">
        <v>43601</v>
      </c>
      <c r="C41" s="1" t="n">
        <v>45828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25233-2019</t>
        </is>
      </c>
      <c r="B42" s="1" t="n">
        <v>43601</v>
      </c>
      <c r="C42" s="1" t="n">
        <v>45828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25228-2019</t>
        </is>
      </c>
      <c r="B43" s="1" t="n">
        <v>43601</v>
      </c>
      <c r="C43" s="1" t="n">
        <v>45828</v>
      </c>
      <c r="D43" t="inlineStr">
        <is>
          <t>VÄRMLANDS LÄN</t>
        </is>
      </c>
      <c r="E43" t="inlineStr">
        <is>
          <t>GRUMS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25226-2019</t>
        </is>
      </c>
      <c r="B44" s="1" t="n">
        <v>43605</v>
      </c>
      <c r="C44" s="1" t="n">
        <v>45828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31.3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27805-2019</t>
        </is>
      </c>
      <c r="B45" s="1" t="n">
        <v>43612</v>
      </c>
      <c r="C45" s="1" t="n">
        <v>45828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26658-2019</t>
        </is>
      </c>
      <c r="B46" s="1" t="n">
        <v>43613</v>
      </c>
      <c r="C46" s="1" t="n">
        <v>45828</v>
      </c>
      <c r="D46" t="inlineStr">
        <is>
          <t>VÄRMLANDS LÄN</t>
        </is>
      </c>
      <c r="E46" t="inlineStr">
        <is>
          <t>GRUMS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28062-2019</t>
        </is>
      </c>
      <c r="B47" s="1" t="n">
        <v>43613</v>
      </c>
      <c r="C47" s="1" t="n">
        <v>45828</v>
      </c>
      <c r="D47" t="inlineStr">
        <is>
          <t>VÄRMLANDS LÄN</t>
        </is>
      </c>
      <c r="E47" t="inlineStr">
        <is>
          <t>GRUMS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27172-2019</t>
        </is>
      </c>
      <c r="B48" s="1" t="n">
        <v>43614</v>
      </c>
      <c r="C48" s="1" t="n">
        <v>45828</v>
      </c>
      <c r="D48" t="inlineStr">
        <is>
          <t>VÄRMLANDS LÄN</t>
        </is>
      </c>
      <c r="E48" t="inlineStr">
        <is>
          <t>GRUMS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30888-2019</t>
        </is>
      </c>
      <c r="B49" s="1" t="n">
        <v>43636</v>
      </c>
      <c r="C49" s="1" t="n">
        <v>45828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32057-2019</t>
        </is>
      </c>
      <c r="B50" s="1" t="n">
        <v>43642</v>
      </c>
      <c r="C50" s="1" t="n">
        <v>45828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32068-2019</t>
        </is>
      </c>
      <c r="B51" s="1" t="n">
        <v>43642</v>
      </c>
      <c r="C51" s="1" t="n">
        <v>45828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32071-2019</t>
        </is>
      </c>
      <c r="B52" s="1" t="n">
        <v>43642</v>
      </c>
      <c r="C52" s="1" t="n">
        <v>45828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31981-2019</t>
        </is>
      </c>
      <c r="B53" s="1" t="n">
        <v>43643</v>
      </c>
      <c r="C53" s="1" t="n">
        <v>45828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34250-2019</t>
        </is>
      </c>
      <c r="B54" s="1" t="n">
        <v>43655</v>
      </c>
      <c r="C54" s="1" t="n">
        <v>45828</v>
      </c>
      <c r="D54" t="inlineStr">
        <is>
          <t>VÄRMLANDS LÄN</t>
        </is>
      </c>
      <c r="E54" t="inlineStr">
        <is>
          <t>GRUMS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37224-2019</t>
        </is>
      </c>
      <c r="B55" s="1" t="n">
        <v>43676</v>
      </c>
      <c r="C55" s="1" t="n">
        <v>45828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37370-2019</t>
        </is>
      </c>
      <c r="B56" s="1" t="n">
        <v>43678</v>
      </c>
      <c r="C56" s="1" t="n">
        <v>45828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42238-2019</t>
        </is>
      </c>
      <c r="B57" s="1" t="n">
        <v>43698</v>
      </c>
      <c r="C57" s="1" t="n">
        <v>45828</v>
      </c>
      <c r="D57" t="inlineStr">
        <is>
          <t>VÄRMLANDS LÄN</t>
        </is>
      </c>
      <c r="E57" t="inlineStr">
        <is>
          <t>GRUMS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44167-2019</t>
        </is>
      </c>
      <c r="B58" s="1" t="n">
        <v>43710</v>
      </c>
      <c r="C58" s="1" t="n">
        <v>45828</v>
      </c>
      <c r="D58" t="inlineStr">
        <is>
          <t>VÄRMLANDS LÄN</t>
        </is>
      </c>
      <c r="E58" t="inlineStr">
        <is>
          <t>GRUMS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45803-2019</t>
        </is>
      </c>
      <c r="B59" s="1" t="n">
        <v>43717</v>
      </c>
      <c r="C59" s="1" t="n">
        <v>45828</v>
      </c>
      <c r="D59" t="inlineStr">
        <is>
          <t>VÄRMLANDS LÄN</t>
        </is>
      </c>
      <c r="E59" t="inlineStr">
        <is>
          <t>GRUMS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47481-2019</t>
        </is>
      </c>
      <c r="B60" s="1" t="n">
        <v>43724</v>
      </c>
      <c r="C60" s="1" t="n">
        <v>45828</v>
      </c>
      <c r="D60" t="inlineStr">
        <is>
          <t>VÄRMLANDS LÄN</t>
        </is>
      </c>
      <c r="E60" t="inlineStr">
        <is>
          <t>GRUMS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58898-2019</t>
        </is>
      </c>
      <c r="B61" s="1" t="n">
        <v>43768</v>
      </c>
      <c r="C61" s="1" t="n">
        <v>45828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58858-2019</t>
        </is>
      </c>
      <c r="B62" s="1" t="n">
        <v>43768</v>
      </c>
      <c r="C62" s="1" t="n">
        <v>45828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58880-2019</t>
        </is>
      </c>
      <c r="B63" s="1" t="n">
        <v>43768</v>
      </c>
      <c r="C63" s="1" t="n">
        <v>45828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59968-2019</t>
        </is>
      </c>
      <c r="B64" s="1" t="n">
        <v>43775</v>
      </c>
      <c r="C64" s="1" t="n">
        <v>45828</v>
      </c>
      <c r="D64" t="inlineStr">
        <is>
          <t>VÄRMLANDS LÄN</t>
        </is>
      </c>
      <c r="E64" t="inlineStr">
        <is>
          <t>GRUMS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61449-2019</t>
        </is>
      </c>
      <c r="B65" s="1" t="n">
        <v>43780</v>
      </c>
      <c r="C65" s="1" t="n">
        <v>45828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63284-2019</t>
        </is>
      </c>
      <c r="B66" s="1" t="n">
        <v>43787</v>
      </c>
      <c r="C66" s="1" t="n">
        <v>45828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63775-2019</t>
        </is>
      </c>
      <c r="B67" s="1" t="n">
        <v>43795</v>
      </c>
      <c r="C67" s="1" t="n">
        <v>45828</v>
      </c>
      <c r="D67" t="inlineStr">
        <is>
          <t>VÄRMLANDS LÄN</t>
        </is>
      </c>
      <c r="E67" t="inlineStr">
        <is>
          <t>GRUMS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4400-2020</t>
        </is>
      </c>
      <c r="B68" s="1" t="n">
        <v>43858</v>
      </c>
      <c r="C68" s="1" t="n">
        <v>45828</v>
      </c>
      <c r="D68" t="inlineStr">
        <is>
          <t>VÄRMLANDS LÄN</t>
        </is>
      </c>
      <c r="E68" t="inlineStr">
        <is>
          <t>GRUMS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4841-2020</t>
        </is>
      </c>
      <c r="B69" s="1" t="n">
        <v>43859</v>
      </c>
      <c r="C69" s="1" t="n">
        <v>45828</v>
      </c>
      <c r="D69" t="inlineStr">
        <is>
          <t>VÄRMLANDS LÄN</t>
        </is>
      </c>
      <c r="E69" t="inlineStr">
        <is>
          <t>GRUMS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6129-2020</t>
        </is>
      </c>
      <c r="B70" s="1" t="n">
        <v>43864</v>
      </c>
      <c r="C70" s="1" t="n">
        <v>45828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6125-2020</t>
        </is>
      </c>
      <c r="B71" s="1" t="n">
        <v>43864</v>
      </c>
      <c r="C71" s="1" t="n">
        <v>45828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6410-2020</t>
        </is>
      </c>
      <c r="B72" s="1" t="n">
        <v>43864</v>
      </c>
      <c r="C72" s="1" t="n">
        <v>45828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7904-2020</t>
        </is>
      </c>
      <c r="B73" s="1" t="n">
        <v>43873</v>
      </c>
      <c r="C73" s="1" t="n">
        <v>45828</v>
      </c>
      <c r="D73" t="inlineStr">
        <is>
          <t>VÄRMLANDS LÄN</t>
        </is>
      </c>
      <c r="E73" t="inlineStr">
        <is>
          <t>GRUMS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11143-2020</t>
        </is>
      </c>
      <c r="B74" s="1" t="n">
        <v>43891</v>
      </c>
      <c r="C74" s="1" t="n">
        <v>45828</v>
      </c>
      <c r="D74" t="inlineStr">
        <is>
          <t>VÄRMLANDS LÄN</t>
        </is>
      </c>
      <c r="E74" t="inlineStr">
        <is>
          <t>GRUMS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45828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45828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45828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45828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45828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45828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45828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45828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45828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45828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45828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45828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45828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45828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45828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45828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45828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45828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45828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45828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45828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45828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45828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45828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45828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45828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45828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45828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45828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45828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45828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45828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45828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45828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45828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45828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45828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45828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45828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45828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45828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45828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45828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45828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45828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45828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45828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45828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45828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45828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45828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45828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45828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45828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45828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45828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45828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45828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45828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45828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45828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45828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45828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45828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45828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45828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45828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45828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45828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45828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45828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45828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45828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45828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45828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45828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45828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45828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45828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45828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45828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45828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45828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45828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45828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45828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45828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45828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45828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45828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45828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45828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45828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45828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45828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45828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45828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45828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45828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45828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45828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45828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45828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45828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45828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45828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45828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45828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45828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45828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45828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45828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45828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45828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45828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45828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45828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45828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45828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45828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45828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45828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45828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45828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45828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45828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45828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45828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45828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45828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45828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45828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45828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45828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45828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45828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45828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45828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45828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45828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45828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45828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45828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45828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45828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45828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45828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45828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45828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45828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45828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45828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45828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45828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45828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45828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45828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45828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45828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45828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45828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45828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45828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45828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45828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45828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45828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45828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45828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45828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45828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45828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45828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45828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45828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45828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45828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45828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45828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45828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45828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45828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45828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45828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45828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45828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45828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45828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45828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45828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45828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45828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45828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45828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45828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45828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45828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45828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45828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45828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45828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45828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45828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45828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45828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45828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45828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45828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45828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45828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45828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45828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45828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45828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45828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45828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45828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45828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45828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45828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45828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45828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45828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45828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45828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45828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45828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45828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45828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45828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45828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45828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45828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45828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45828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45828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45828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45828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45828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45828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45828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45828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45828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45828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45828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45828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45828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45828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45828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45828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45828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45828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45828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45828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45828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45828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45828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45828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45828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45828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45828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45828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45828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45828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45828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45828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45828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45828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45828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45828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45828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45828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45828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45828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45828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45828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45828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45828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45828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45828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45828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45828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45828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45828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45828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45828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45828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45828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45828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45828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45828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45828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45828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45828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45828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45828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45828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45828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45828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45828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45828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45828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45828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45828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45828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45828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45828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45828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45828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45828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45828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45828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45828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45828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45828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45828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45828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45828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45828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45828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45828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45828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45828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45828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45828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45828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45828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45828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45828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45828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45828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45828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45828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45828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45828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45828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45828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45828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45828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45828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45828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45828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45828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45828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45828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45828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45828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45828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45828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45828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45828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45828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45828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45828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45828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45828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45828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45828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45828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45828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45828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45828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45828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45828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45828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45828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45828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45828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45828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45828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45828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45828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45828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45828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45828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45828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45828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45828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45828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45828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45828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45828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45828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45828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45828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45828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45828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45828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45828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45828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45828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45828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45828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45828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45828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45828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45828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45828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45828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45828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45828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45828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45828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45828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45828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45828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45828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45828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45828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45828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45828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45828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45828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45828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45828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45828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45828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45828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45828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45828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45828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45828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45828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45828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45828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45828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45828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45828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45828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45828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45828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45828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45828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45828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45828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45828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45828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45828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45828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45828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45828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45828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45828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45828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45828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45828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45828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45828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45828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45828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45828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45828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45828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45828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45828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45828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45828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45828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45828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30411-2025</t>
        </is>
      </c>
      <c r="B534" s="1" t="n">
        <v>45827</v>
      </c>
      <c r="C534" s="1" t="n">
        <v>45828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2025-06-20T19:18:23Z</dcterms:created>
  <dcterms:modified xmlns:dcterms="http://purl.org/dc/terms/" xmlns:xsi="http://www.w3.org/2001/XMLSchema-instance" xsi:type="dcterms:W3CDTF">2025-06-20T19:18:24Z</dcterms:modified>
</cp:coreProperties>
</file>