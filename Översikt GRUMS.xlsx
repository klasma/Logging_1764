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46191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909-2025</t>
        </is>
      </c>
      <c r="B3" s="1" t="n">
        <v>45664</v>
      </c>
      <c r="C3" s="1" t="n">
        <v>46191</v>
      </c>
      <c r="D3" t="inlineStr">
        <is>
          <t>VÄRMLANDS LÄN</t>
        </is>
      </c>
      <c r="E3" t="inlineStr">
        <is>
          <t>GRUMS</t>
        </is>
      </c>
      <c r="G3" t="n">
        <v>4.5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Silverblåvinge
Skogsklocka
Skuggorangelav
Brun nållav
Gulpudrad spiklav</t>
        </is>
      </c>
      <c r="S3">
        <f>HYPERLINK("https://klasma.github.io/Logging_1764/artfynd/A 909-2025 artfynd.xlsx", "A 909-2025")</f>
        <v/>
      </c>
      <c r="T3">
        <f>HYPERLINK("https://klasma.github.io/Logging_1764/kartor/A 909-2025 karta.png", "A 909-2025")</f>
        <v/>
      </c>
      <c r="V3">
        <f>HYPERLINK("https://klasma.github.io/Logging_1764/klagomål/A 909-2025 FSC-klagomål.docx", "A 909-2025")</f>
        <v/>
      </c>
      <c r="W3">
        <f>HYPERLINK("https://klasma.github.io/Logging_1764/klagomålsmail/A 909-2025 FSC-klagomål mail.docx", "A 909-2025")</f>
        <v/>
      </c>
      <c r="X3">
        <f>HYPERLINK("https://klasma.github.io/Logging_1764/tillsyn/A 909-2025 tillsynsbegäran.docx", "A 909-2025")</f>
        <v/>
      </c>
      <c r="Y3">
        <f>HYPERLINK("https://klasma.github.io/Logging_1764/tillsynsmail/A 909-2025 tillsynsbegäran mail.docx", "A 909-2025")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46191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Björksplintborre
Bronshjon
Vågbandad barkbock
Vanlig groda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53755-2024</t>
        </is>
      </c>
      <c r="B5" s="1" t="n">
        <v>45615</v>
      </c>
      <c r="C5" s="1" t="n">
        <v>46191</v>
      </c>
      <c r="D5" t="inlineStr">
        <is>
          <t>VÄRMLANDS LÄN</t>
        </is>
      </c>
      <c r="E5" t="inlineStr">
        <is>
          <t>GRUMS</t>
        </is>
      </c>
      <c r="G5" t="n">
        <v>6.1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Motaggsvamp
Björksplintborre
Bronshjon</t>
        </is>
      </c>
      <c r="S5">
        <f>HYPERLINK("https://klasma.github.io/Logging_1764/artfynd/A 53755-2024 artfynd.xlsx", "A 53755-2024")</f>
        <v/>
      </c>
      <c r="T5">
        <f>HYPERLINK("https://klasma.github.io/Logging_1764/kartor/A 53755-2024 karta.png", "A 53755-2024")</f>
        <v/>
      </c>
      <c r="V5">
        <f>HYPERLINK("https://klasma.github.io/Logging_1764/klagomål/A 53755-2024 FSC-klagomål.docx", "A 53755-2024")</f>
        <v/>
      </c>
      <c r="W5">
        <f>HYPERLINK("https://klasma.github.io/Logging_1764/klagomålsmail/A 53755-2024 FSC-klagomål mail.docx", "A 53755-2024")</f>
        <v/>
      </c>
      <c r="X5">
        <f>HYPERLINK("https://klasma.github.io/Logging_1764/tillsyn/A 53755-2024 tillsynsbegäran.docx", "A 53755-2024")</f>
        <v/>
      </c>
      <c r="Y5">
        <f>HYPERLINK("https://klasma.github.io/Logging_1764/tillsynsmail/A 53755-2024 tillsynsbegäran mail.docx", "A 53755-2024")</f>
        <v/>
      </c>
    </row>
    <row r="6" ht="15" customHeight="1">
      <c r="A6" t="inlineStr">
        <is>
          <t>A 40441-2022</t>
        </is>
      </c>
      <c r="B6" s="1" t="n">
        <v>44819</v>
      </c>
      <c r="C6" s="1" t="n">
        <v>46191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9.199999999999999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Orre</t>
        </is>
      </c>
      <c r="S6">
        <f>HYPERLINK("https://klasma.github.io/Logging_1764/artfynd/A 40441-2022 artfynd.xlsx", "A 40441-2022")</f>
        <v/>
      </c>
      <c r="T6">
        <f>HYPERLINK("https://klasma.github.io/Logging_1764/kartor/A 40441-2022 karta.png", "A 40441-2022")</f>
        <v/>
      </c>
      <c r="V6">
        <f>HYPERLINK("https://klasma.github.io/Logging_1764/klagomål/A 40441-2022 FSC-klagomål.docx", "A 40441-2022")</f>
        <v/>
      </c>
      <c r="W6">
        <f>HYPERLINK("https://klasma.github.io/Logging_1764/klagomålsmail/A 40441-2022 FSC-klagomål mail.docx", "A 40441-2022")</f>
        <v/>
      </c>
      <c r="X6">
        <f>HYPERLINK("https://klasma.github.io/Logging_1764/tillsyn/A 40441-2022 tillsynsbegäran.docx", "A 40441-2022")</f>
        <v/>
      </c>
      <c r="Y6">
        <f>HYPERLINK("https://klasma.github.io/Logging_1764/tillsynsmail/A 40441-2022 tillsynsbegäran mail.docx", "A 40441-2022")</f>
        <v/>
      </c>
      <c r="Z6">
        <f>HYPERLINK("https://klasma.github.io/Logging_1764/fåglar/A 40441-2022 prioriterade fågelarter.docx", "A 40441-2022")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46191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5280-2022</t>
        </is>
      </c>
      <c r="B8" s="1" t="n">
        <v>44593</v>
      </c>
      <c r="C8" s="1" t="n">
        <v>46191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37.1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Tjäder</t>
        </is>
      </c>
      <c r="S8">
        <f>HYPERLINK("https://klasma.github.io/Logging_1764/artfynd/A 5280-2022 artfynd.xlsx", "A 5280-2022")</f>
        <v/>
      </c>
      <c r="T8">
        <f>HYPERLINK("https://klasma.github.io/Logging_1764/kartor/A 5280-2022 karta.png", "A 5280-2022")</f>
        <v/>
      </c>
      <c r="V8">
        <f>HYPERLINK("https://klasma.github.io/Logging_1764/klagomål/A 5280-2022 FSC-klagomål.docx", "A 5280-2022")</f>
        <v/>
      </c>
      <c r="W8">
        <f>HYPERLINK("https://klasma.github.io/Logging_1764/klagomålsmail/A 5280-2022 FSC-klagomål mail.docx", "A 5280-2022")</f>
        <v/>
      </c>
      <c r="X8">
        <f>HYPERLINK("https://klasma.github.io/Logging_1764/tillsyn/A 5280-2022 tillsynsbegäran.docx", "A 5280-2022")</f>
        <v/>
      </c>
      <c r="Y8">
        <f>HYPERLINK("https://klasma.github.io/Logging_1764/tillsynsmail/A 5280-2022 tillsynsbegäran mail.docx", "A 5280-2022")</f>
        <v/>
      </c>
      <c r="Z8">
        <f>HYPERLINK("https://klasma.github.io/Logging_1764/fåglar/A 5280-2022 prioriterade fågelarter.docx", "A 5280-2022")</f>
        <v/>
      </c>
    </row>
    <row r="9" ht="15" customHeight="1">
      <c r="A9" t="inlineStr">
        <is>
          <t>A 54042-2021</t>
        </is>
      </c>
      <c r="B9" s="1" t="n">
        <v>44470</v>
      </c>
      <c r="C9" s="1" t="n">
        <v>46191</v>
      </c>
      <c r="D9" t="inlineStr">
        <is>
          <t>VÄRMLANDS LÄN</t>
        </is>
      </c>
      <c r="E9" t="inlineStr">
        <is>
          <t>GRUMS</t>
        </is>
      </c>
      <c r="G9" t="n">
        <v>7.8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Spillkråka
Fläcknycklar</t>
        </is>
      </c>
      <c r="S9">
        <f>HYPERLINK("https://klasma.github.io/Logging_1764/artfynd/A 54042-2021 artfynd.xlsx", "A 54042-2021")</f>
        <v/>
      </c>
      <c r="T9">
        <f>HYPERLINK("https://klasma.github.io/Logging_1764/kartor/A 54042-2021 karta.png", "A 54042-2021")</f>
        <v/>
      </c>
      <c r="V9">
        <f>HYPERLINK("https://klasma.github.io/Logging_1764/klagomål/A 54042-2021 FSC-klagomål.docx", "A 54042-2021")</f>
        <v/>
      </c>
      <c r="W9">
        <f>HYPERLINK("https://klasma.github.io/Logging_1764/klagomålsmail/A 54042-2021 FSC-klagomål mail.docx", "A 54042-2021")</f>
        <v/>
      </c>
      <c r="X9">
        <f>HYPERLINK("https://klasma.github.io/Logging_1764/tillsyn/A 54042-2021 tillsynsbegäran.docx", "A 54042-2021")</f>
        <v/>
      </c>
      <c r="Y9">
        <f>HYPERLINK("https://klasma.github.io/Logging_1764/tillsynsmail/A 54042-2021 tillsynsbegäran mail.docx", "A 54042-2021")</f>
        <v/>
      </c>
      <c r="Z9">
        <f>HYPERLINK("https://klasma.github.io/Logging_1764/fåglar/A 54042-2021 prioriterade fågelarter.docx", "A 54042-2021")</f>
        <v/>
      </c>
    </row>
    <row r="10" ht="15" customHeight="1">
      <c r="A10" t="inlineStr">
        <is>
          <t>A 56386-2022</t>
        </is>
      </c>
      <c r="B10" s="1" t="n">
        <v>44890</v>
      </c>
      <c r="C10" s="1" t="n">
        <v>46191</v>
      </c>
      <c r="D10" t="inlineStr">
        <is>
          <t>VÄRMLANDS LÄN</t>
        </is>
      </c>
      <c r="E10" t="inlineStr">
        <is>
          <t>GRUMS</t>
        </is>
      </c>
      <c r="G10" t="n">
        <v>4.2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Vågfibbla
Rönnfibbla</t>
        </is>
      </c>
      <c r="S10">
        <f>HYPERLINK("https://klasma.github.io/Logging_1764/artfynd/A 56386-2022 artfynd.xlsx", "A 56386-2022")</f>
        <v/>
      </c>
      <c r="T10">
        <f>HYPERLINK("https://klasma.github.io/Logging_1764/kartor/A 56386-2022 karta.png", "A 56386-2022")</f>
        <v/>
      </c>
      <c r="V10">
        <f>HYPERLINK("https://klasma.github.io/Logging_1764/klagomål/A 56386-2022 FSC-klagomål.docx", "A 56386-2022")</f>
        <v/>
      </c>
      <c r="W10">
        <f>HYPERLINK("https://klasma.github.io/Logging_1764/klagomålsmail/A 56386-2022 FSC-klagomål mail.docx", "A 56386-2022")</f>
        <v/>
      </c>
      <c r="X10">
        <f>HYPERLINK("https://klasma.github.io/Logging_1764/tillsyn/A 56386-2022 tillsynsbegäran.docx", "A 56386-2022")</f>
        <v/>
      </c>
      <c r="Y10">
        <f>HYPERLINK("https://klasma.github.io/Logging_1764/tillsynsmail/A 56386-2022 tillsynsbegäran mail.docx", "A 56386-2022")</f>
        <v/>
      </c>
    </row>
    <row r="11" ht="15" customHeight="1">
      <c r="A11" t="inlineStr">
        <is>
          <t>A 60394-2025</t>
        </is>
      </c>
      <c r="B11" s="1" t="n">
        <v>45995</v>
      </c>
      <c r="C11" s="1" t="n">
        <v>46191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Skogsknipprot</t>
        </is>
      </c>
      <c r="S11">
        <f>HYPERLINK("https://klasma.github.io/Logging_1764/artfynd/A 60394-2025 artfynd.xlsx", "A 60394-2025")</f>
        <v/>
      </c>
      <c r="T11">
        <f>HYPERLINK("https://klasma.github.io/Logging_1764/kartor/A 60394-2025 karta.png", "A 60394-2025")</f>
        <v/>
      </c>
      <c r="V11">
        <f>HYPERLINK("https://klasma.github.io/Logging_1764/klagomål/A 60394-2025 FSC-klagomål.docx", "A 60394-2025")</f>
        <v/>
      </c>
      <c r="W11">
        <f>HYPERLINK("https://klasma.github.io/Logging_1764/klagomålsmail/A 60394-2025 FSC-klagomål mail.docx", "A 60394-2025")</f>
        <v/>
      </c>
      <c r="X11">
        <f>HYPERLINK("https://klasma.github.io/Logging_1764/tillsyn/A 60394-2025 tillsynsbegäran.docx", "A 60394-2025")</f>
        <v/>
      </c>
      <c r="Y11">
        <f>HYPERLINK("https://klasma.github.io/Logging_1764/tillsynsmail/A 60394-2025 tillsynsbegäran mail.docx", "A 60394-2025")</f>
        <v/>
      </c>
    </row>
    <row r="12" ht="15" customHeight="1">
      <c r="A12" t="inlineStr">
        <is>
          <t>A 57233-2023</t>
        </is>
      </c>
      <c r="B12" s="1" t="n">
        <v>45245</v>
      </c>
      <c r="C12" s="1" t="n">
        <v>46191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Jungfrulin
Skogsklocka</t>
        </is>
      </c>
      <c r="S12">
        <f>HYPERLINK("https://klasma.github.io/Logging_1764/artfynd/A 57233-2023 artfynd.xlsx", "A 57233-2023")</f>
        <v/>
      </c>
      <c r="T12">
        <f>HYPERLINK("https://klasma.github.io/Logging_1764/kartor/A 57233-2023 karta.png", "A 57233-2023")</f>
        <v/>
      </c>
      <c r="V12">
        <f>HYPERLINK("https://klasma.github.io/Logging_1764/klagomål/A 57233-2023 FSC-klagomål.docx", "A 57233-2023")</f>
        <v/>
      </c>
      <c r="W12">
        <f>HYPERLINK("https://klasma.github.io/Logging_1764/klagomålsmail/A 57233-2023 FSC-klagomål mail.docx", "A 57233-2023")</f>
        <v/>
      </c>
      <c r="X12">
        <f>HYPERLINK("https://klasma.github.io/Logging_1764/tillsyn/A 57233-2023 tillsynsbegäran.docx", "A 57233-2023")</f>
        <v/>
      </c>
      <c r="Y12">
        <f>HYPERLINK("https://klasma.github.io/Logging_1764/tillsynsmail/A 57233-2023 tillsynsbegäran mail.docx", "A 57233-2023")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46191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Gullpudra
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46191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Bronshjon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59760-2021</t>
        </is>
      </c>
      <c r="B15" s="1" t="n">
        <v>44494</v>
      </c>
      <c r="C15" s="1" t="n">
        <v>46191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HYPERLINK("https://klasma.github.io/Logging_1764/artfynd/A 59760-2021 artfynd.xlsx", "A 59760-2021")</f>
        <v/>
      </c>
      <c r="T15">
        <f>HYPERLINK("https://klasma.github.io/Logging_1764/kartor/A 59760-2021 karta.png", "A 59760-2021")</f>
        <v/>
      </c>
      <c r="V15">
        <f>HYPERLINK("https://klasma.github.io/Logging_1764/klagomål/A 59760-2021 FSC-klagomål.docx", "A 59760-2021")</f>
        <v/>
      </c>
      <c r="W15">
        <f>HYPERLINK("https://klasma.github.io/Logging_1764/klagomålsmail/A 59760-2021 FSC-klagomål mail.docx", "A 59760-2021")</f>
        <v/>
      </c>
      <c r="X15">
        <f>HYPERLINK("https://klasma.github.io/Logging_1764/tillsyn/A 59760-2021 tillsynsbegäran.docx", "A 59760-2021")</f>
        <v/>
      </c>
      <c r="Y15">
        <f>HYPERLINK("https://klasma.github.io/Logging_1764/tillsynsmail/A 59760-2021 tillsynsbegäran mail.docx", "A 59760-2021")</f>
        <v/>
      </c>
    </row>
    <row r="16" ht="15" customHeight="1">
      <c r="A16" t="inlineStr">
        <is>
          <t>A 4178-2022</t>
        </is>
      </c>
      <c r="B16" s="1" t="n">
        <v>44588</v>
      </c>
      <c r="C16" s="1" t="n">
        <v>46191</v>
      </c>
      <c r="D16" t="inlineStr">
        <is>
          <t>VÄRMLANDS LÄN</t>
        </is>
      </c>
      <c r="E16" t="inlineStr">
        <is>
          <t>GRUMS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4178-2022 artfynd.xlsx", "A 4178-2022")</f>
        <v/>
      </c>
      <c r="T16">
        <f>HYPERLINK("https://klasma.github.io/Logging_1764/kartor/A 4178-2022 karta.png", "A 4178-2022")</f>
        <v/>
      </c>
      <c r="V16">
        <f>HYPERLINK("https://klasma.github.io/Logging_1764/klagomål/A 4178-2022 FSC-klagomål.docx", "A 4178-2022")</f>
        <v/>
      </c>
      <c r="W16">
        <f>HYPERLINK("https://klasma.github.io/Logging_1764/klagomålsmail/A 4178-2022 FSC-klagomål mail.docx", "A 4178-2022")</f>
        <v/>
      </c>
      <c r="X16">
        <f>HYPERLINK("https://klasma.github.io/Logging_1764/tillsyn/A 4178-2022 tillsynsbegäran.docx", "A 4178-2022")</f>
        <v/>
      </c>
      <c r="Y16">
        <f>HYPERLINK("https://klasma.github.io/Logging_1764/tillsynsmail/A 4178-2022 tillsynsbegäran mail.docx", "A 4178-2022")</f>
        <v/>
      </c>
    </row>
    <row r="17" ht="15" customHeight="1">
      <c r="A17" t="inlineStr">
        <is>
          <t>A 54073-2021</t>
        </is>
      </c>
      <c r="B17" s="1" t="n">
        <v>44470</v>
      </c>
      <c r="C17" s="1" t="n">
        <v>46191</v>
      </c>
      <c r="D17" t="inlineStr">
        <is>
          <t>VÄRMLANDS LÄN</t>
        </is>
      </c>
      <c r="E17" t="inlineStr">
        <is>
          <t>GRUMS</t>
        </is>
      </c>
      <c r="G17" t="n">
        <v>20.6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54073-2021 artfynd.xlsx", "A 54073-2021")</f>
        <v/>
      </c>
      <c r="T17">
        <f>HYPERLINK("https://klasma.github.io/Logging_1764/kartor/A 54073-2021 karta.png", "A 54073-2021")</f>
        <v/>
      </c>
      <c r="V17">
        <f>HYPERLINK("https://klasma.github.io/Logging_1764/klagomål/A 54073-2021 FSC-klagomål.docx", "A 54073-2021")</f>
        <v/>
      </c>
      <c r="W17">
        <f>HYPERLINK("https://klasma.github.io/Logging_1764/klagomålsmail/A 54073-2021 FSC-klagomål mail.docx", "A 54073-2021")</f>
        <v/>
      </c>
      <c r="X17">
        <f>HYPERLINK("https://klasma.github.io/Logging_1764/tillsyn/A 54073-2021 tillsynsbegäran.docx", "A 54073-2021")</f>
        <v/>
      </c>
      <c r="Y17">
        <f>HYPERLINK("https://klasma.github.io/Logging_1764/tillsynsmail/A 54073-2021 tillsynsbegäran mail.docx", "A 54073-2021")</f>
        <v/>
      </c>
      <c r="Z17">
        <f>HYPERLINK("https://klasma.github.io/Logging_1764/fåglar/A 54073-2021 prioriterade fågelarter.docx", "A 54073-2021")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46191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37339-2022</t>
        </is>
      </c>
      <c r="B19" s="1" t="n">
        <v>44806</v>
      </c>
      <c r="C19" s="1" t="n">
        <v>46191</v>
      </c>
      <c r="D19" t="inlineStr">
        <is>
          <t>VÄRMLANDS LÄN</t>
        </is>
      </c>
      <c r="E19" t="inlineStr">
        <is>
          <t>GRUMS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37339-2022 artfynd.xlsx", "A 37339-2022")</f>
        <v/>
      </c>
      <c r="T19">
        <f>HYPERLINK("https://klasma.github.io/Logging_1764/kartor/A 37339-2022 karta.png", "A 37339-2022")</f>
        <v/>
      </c>
      <c r="V19">
        <f>HYPERLINK("https://klasma.github.io/Logging_1764/klagomål/A 37339-2022 FSC-klagomål.docx", "A 37339-2022")</f>
        <v/>
      </c>
      <c r="W19">
        <f>HYPERLINK("https://klasma.github.io/Logging_1764/klagomålsmail/A 37339-2022 FSC-klagomål mail.docx", "A 37339-2022")</f>
        <v/>
      </c>
      <c r="X19">
        <f>HYPERLINK("https://klasma.github.io/Logging_1764/tillsyn/A 37339-2022 tillsynsbegäran.docx", "A 37339-2022")</f>
        <v/>
      </c>
      <c r="Y19">
        <f>HYPERLINK("https://klasma.github.io/Logging_1764/tillsynsmail/A 37339-2022 tillsynsbegäran mail.docx", "A 37339-2022")</f>
        <v/>
      </c>
    </row>
    <row r="20" ht="15" customHeight="1">
      <c r="A20" t="inlineStr">
        <is>
          <t>A 10647-2024</t>
        </is>
      </c>
      <c r="B20" s="1" t="n">
        <v>45368</v>
      </c>
      <c r="C20" s="1" t="n">
        <v>46191</v>
      </c>
      <c r="D20" t="inlineStr">
        <is>
          <t>VÄRMLANDS LÄN</t>
        </is>
      </c>
      <c r="E20" t="inlineStr">
        <is>
          <t>GRUMS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HYPERLINK("https://klasma.github.io/Logging_1764/artfynd/A 10647-2024 artfynd.xlsx", "A 10647-2024")</f>
        <v/>
      </c>
      <c r="T20">
        <f>HYPERLINK("https://klasma.github.io/Logging_1764/kartor/A 10647-2024 karta.png", "A 10647-2024")</f>
        <v/>
      </c>
      <c r="V20">
        <f>HYPERLINK("https://klasma.github.io/Logging_1764/klagomål/A 10647-2024 FSC-klagomål.docx", "A 10647-2024")</f>
        <v/>
      </c>
      <c r="W20">
        <f>HYPERLINK("https://klasma.github.io/Logging_1764/klagomålsmail/A 10647-2024 FSC-klagomål mail.docx", "A 10647-2024")</f>
        <v/>
      </c>
      <c r="X20">
        <f>HYPERLINK("https://klasma.github.io/Logging_1764/tillsyn/A 10647-2024 tillsynsbegäran.docx", "A 10647-2024")</f>
        <v/>
      </c>
      <c r="Y20">
        <f>HYPERLINK("https://klasma.github.io/Logging_1764/tillsynsmail/A 10647-2024 tillsynsbegäran mail.docx", "A 10647-2024")</f>
        <v/>
      </c>
      <c r="Z20">
        <f>HYPERLINK("https://klasma.github.io/Logging_1764/fåglar/A 10647-2024 prioriterade fågelarter.docx", "A 10647-2024")</f>
        <v/>
      </c>
    </row>
    <row r="21" ht="15" customHeight="1">
      <c r="A21" t="inlineStr">
        <is>
          <t>A 47146-2025</t>
        </is>
      </c>
      <c r="B21" s="1" t="n">
        <v>45929</v>
      </c>
      <c r="C21" s="1" t="n">
        <v>46191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HYPERLINK("https://klasma.github.io/Logging_1764/artfynd/A 47146-2025 artfynd.xlsx", "A 47146-2025")</f>
        <v/>
      </c>
      <c r="T21">
        <f>HYPERLINK("https://klasma.github.io/Logging_1764/kartor/A 47146-2025 karta.png", "A 47146-2025")</f>
        <v/>
      </c>
      <c r="V21">
        <f>HYPERLINK("https://klasma.github.io/Logging_1764/klagomål/A 47146-2025 FSC-klagomål.docx", "A 47146-2025")</f>
        <v/>
      </c>
      <c r="W21">
        <f>HYPERLINK("https://klasma.github.io/Logging_1764/klagomålsmail/A 47146-2025 FSC-klagomål mail.docx", "A 47146-2025")</f>
        <v/>
      </c>
      <c r="X21">
        <f>HYPERLINK("https://klasma.github.io/Logging_1764/tillsyn/A 47146-2025 tillsynsbegäran.docx", "A 47146-2025")</f>
        <v/>
      </c>
      <c r="Y21">
        <f>HYPERLINK("https://klasma.github.io/Logging_1764/tillsynsmail/A 47146-2025 tillsynsbegäran mail.docx", "A 47146-2025")</f>
        <v/>
      </c>
      <c r="Z21">
        <f>HYPERLINK("https://klasma.github.io/Logging_1764/fåglar/A 47146-2025 prioriterade fågelarter.docx", "A 47146-2025")</f>
        <v/>
      </c>
    </row>
    <row r="22" ht="15" customHeight="1">
      <c r="A22" t="inlineStr">
        <is>
          <t>A 12296-2026</t>
        </is>
      </c>
      <c r="B22" s="1" t="n">
        <v>46087</v>
      </c>
      <c r="C22" s="1" t="n">
        <v>46191</v>
      </c>
      <c r="D22" t="inlineStr">
        <is>
          <t>VÄRMLANDS LÄN</t>
        </is>
      </c>
      <c r="E22" t="inlineStr">
        <is>
          <t>GRUMS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HYPERLINK("https://klasma.github.io/Logging_1764/artfynd/A 12296-2026 artfynd.xlsx", "A 12296-2026")</f>
        <v/>
      </c>
      <c r="T22">
        <f>HYPERLINK("https://klasma.github.io/Logging_1764/kartor/A 12296-2026 karta.png", "A 12296-2026")</f>
        <v/>
      </c>
      <c r="V22">
        <f>HYPERLINK("https://klasma.github.io/Logging_1764/klagomål/A 12296-2026 FSC-klagomål.docx", "A 12296-2026")</f>
        <v/>
      </c>
      <c r="W22">
        <f>HYPERLINK("https://klasma.github.io/Logging_1764/klagomålsmail/A 12296-2026 FSC-klagomål mail.docx", "A 12296-2026")</f>
        <v/>
      </c>
      <c r="X22">
        <f>HYPERLINK("https://klasma.github.io/Logging_1764/tillsyn/A 12296-2026 tillsynsbegäran.docx", "A 12296-2026")</f>
        <v/>
      </c>
      <c r="Y22">
        <f>HYPERLINK("https://klasma.github.io/Logging_1764/tillsynsmail/A 12296-2026 tillsynsbegäran mail.docx", "A 12296-2026")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46191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35077-2024</t>
        </is>
      </c>
      <c r="B24" s="1" t="n">
        <v>45527</v>
      </c>
      <c r="C24" s="1" t="n">
        <v>46191</v>
      </c>
      <c r="D24" t="inlineStr">
        <is>
          <t>VÄRMLANDS LÄN</t>
        </is>
      </c>
      <c r="E24" t="inlineStr">
        <is>
          <t>GRUMS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HYPERLINK("https://klasma.github.io/Logging_1764/artfynd/A 35077-2024 artfynd.xlsx", "A 35077-2024")</f>
        <v/>
      </c>
      <c r="T24">
        <f>HYPERLINK("https://klasma.github.io/Logging_1764/kartor/A 35077-2024 karta.png", "A 35077-2024")</f>
        <v/>
      </c>
      <c r="U24">
        <f>HYPERLINK("https://klasma.github.io/Logging_1764/knärot/A 35077-2024 karta knärot.png", "A 35077-2024")</f>
        <v/>
      </c>
      <c r="V24">
        <f>HYPERLINK("https://klasma.github.io/Logging_1764/klagomål/A 35077-2024 FSC-klagomål.docx", "A 35077-2024")</f>
        <v/>
      </c>
      <c r="W24">
        <f>HYPERLINK("https://klasma.github.io/Logging_1764/klagomålsmail/A 35077-2024 FSC-klagomål mail.docx", "A 35077-2024")</f>
        <v/>
      </c>
      <c r="X24">
        <f>HYPERLINK("https://klasma.github.io/Logging_1764/tillsyn/A 35077-2024 tillsynsbegäran.docx", "A 35077-2024")</f>
        <v/>
      </c>
      <c r="Y24">
        <f>HYPERLINK("https://klasma.github.io/Logging_1764/tillsynsmail/A 35077-2024 tillsynsbegäran mail.docx", "A 35077-2024")</f>
        <v/>
      </c>
    </row>
    <row r="25" ht="15" customHeight="1">
      <c r="A25" t="inlineStr">
        <is>
          <t>A 41878-2024</t>
        </is>
      </c>
      <c r="B25" s="1" t="n">
        <v>45561</v>
      </c>
      <c r="C25" s="1" t="n">
        <v>46191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HYPERLINK("https://klasma.github.io/Logging_1764/artfynd/A 41878-2024 artfynd.xlsx", "A 41878-2024")</f>
        <v/>
      </c>
      <c r="T25">
        <f>HYPERLINK("https://klasma.github.io/Logging_1764/kartor/A 41878-2024 karta.png", "A 41878-2024")</f>
        <v/>
      </c>
      <c r="V25">
        <f>HYPERLINK("https://klasma.github.io/Logging_1764/klagomål/A 41878-2024 FSC-klagomål.docx", "A 41878-2024")</f>
        <v/>
      </c>
      <c r="W25">
        <f>HYPERLINK("https://klasma.github.io/Logging_1764/klagomålsmail/A 41878-2024 FSC-klagomål mail.docx", "A 41878-2024")</f>
        <v/>
      </c>
      <c r="X25">
        <f>HYPERLINK("https://klasma.github.io/Logging_1764/tillsyn/A 41878-2024 tillsynsbegäran.docx", "A 41878-2024")</f>
        <v/>
      </c>
      <c r="Y25">
        <f>HYPERLINK("https://klasma.github.io/Logging_1764/tillsynsmail/A 41878-2024 tillsynsbegäran mail.docx", "A 41878-2024")</f>
        <v/>
      </c>
      <c r="Z25">
        <f>HYPERLINK("https://klasma.github.io/Logging_1764/fåglar/A 41878-2024 prioriterade fågelarter.docx", "A 41878-2024")</f>
        <v/>
      </c>
    </row>
    <row r="26" ht="15" customHeight="1">
      <c r="A26" t="inlineStr">
        <is>
          <t>A 17122-2024</t>
        </is>
      </c>
      <c r="B26" s="1" t="n">
        <v>45412</v>
      </c>
      <c r="C26" s="1" t="n">
        <v>46191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HYPERLINK("https://klasma.github.io/Logging_1764/artfynd/A 17122-2024 artfynd.xlsx", "A 17122-2024")</f>
        <v/>
      </c>
      <c r="T26">
        <f>HYPERLINK("https://klasma.github.io/Logging_1764/kartor/A 17122-2024 karta.png", "A 17122-2024")</f>
        <v/>
      </c>
      <c r="V26">
        <f>HYPERLINK("https://klasma.github.io/Logging_1764/klagomål/A 17122-2024 FSC-klagomål.docx", "A 17122-2024")</f>
        <v/>
      </c>
      <c r="W26">
        <f>HYPERLINK("https://klasma.github.io/Logging_1764/klagomålsmail/A 17122-2024 FSC-klagomål mail.docx", "A 17122-2024")</f>
        <v/>
      </c>
      <c r="X26">
        <f>HYPERLINK("https://klasma.github.io/Logging_1764/tillsyn/A 17122-2024 tillsynsbegäran.docx", "A 17122-2024")</f>
        <v/>
      </c>
      <c r="Y26">
        <f>HYPERLINK("https://klasma.github.io/Logging_1764/tillsynsmail/A 17122-2024 tillsynsbegäran mail.docx", "A 17122-2024")</f>
        <v/>
      </c>
    </row>
    <row r="27" ht="15" customHeight="1">
      <c r="A27" t="inlineStr">
        <is>
          <t>A 7931-2025</t>
        </is>
      </c>
      <c r="B27" s="1" t="n">
        <v>45706</v>
      </c>
      <c r="C27" s="1" t="n">
        <v>46191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HYPERLINK("https://klasma.github.io/Logging_1764/artfynd/A 7931-2025 artfynd.xlsx", "A 7931-2025")</f>
        <v/>
      </c>
      <c r="T27">
        <f>HYPERLINK("https://klasma.github.io/Logging_1764/kartor/A 7931-2025 karta.png", "A 7931-2025")</f>
        <v/>
      </c>
      <c r="V27">
        <f>HYPERLINK("https://klasma.github.io/Logging_1764/klagomål/A 7931-2025 FSC-klagomål.docx", "A 7931-2025")</f>
        <v/>
      </c>
      <c r="W27">
        <f>HYPERLINK("https://klasma.github.io/Logging_1764/klagomålsmail/A 7931-2025 FSC-klagomål mail.docx", "A 7931-2025")</f>
        <v/>
      </c>
      <c r="X27">
        <f>HYPERLINK("https://klasma.github.io/Logging_1764/tillsyn/A 7931-2025 tillsynsbegäran.docx", "A 7931-2025")</f>
        <v/>
      </c>
      <c r="Y27">
        <f>HYPERLINK("https://klasma.github.io/Logging_1764/tillsynsmail/A 7931-2025 tillsynsbegäran mail.docx", "A 7931-2025")</f>
        <v/>
      </c>
    </row>
    <row r="28" ht="15" customHeight="1">
      <c r="A28" t="inlineStr">
        <is>
          <t>A 30411-2025</t>
        </is>
      </c>
      <c r="B28" s="1" t="n">
        <v>45827</v>
      </c>
      <c r="C28" s="1" t="n">
        <v>46191</v>
      </c>
      <c r="D28" t="inlineStr">
        <is>
          <t>VÄRMLANDS LÄN</t>
        </is>
      </c>
      <c r="E28" t="inlineStr">
        <is>
          <t>GRUMS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HYPERLINK("https://klasma.github.io/Logging_1764/artfynd/A 30411-2025 artfynd.xlsx", "A 30411-2025")</f>
        <v/>
      </c>
      <c r="T28">
        <f>HYPERLINK("https://klasma.github.io/Logging_1764/kartor/A 30411-2025 karta.png", "A 30411-2025")</f>
        <v/>
      </c>
      <c r="V28">
        <f>HYPERLINK("https://klasma.github.io/Logging_1764/klagomål/A 30411-2025 FSC-klagomål.docx", "A 30411-2025")</f>
        <v/>
      </c>
      <c r="W28">
        <f>HYPERLINK("https://klasma.github.io/Logging_1764/klagomålsmail/A 30411-2025 FSC-klagomål mail.docx", "A 30411-2025")</f>
        <v/>
      </c>
      <c r="X28">
        <f>HYPERLINK("https://klasma.github.io/Logging_1764/tillsyn/A 30411-2025 tillsynsbegäran.docx", "A 30411-2025")</f>
        <v/>
      </c>
      <c r="Y28">
        <f>HYPERLINK("https://klasma.github.io/Logging_1764/tillsynsmail/A 30411-2025 tillsynsbegäran mail.docx", "A 30411-2025")</f>
        <v/>
      </c>
    </row>
    <row r="29" ht="15" customHeight="1">
      <c r="A29" t="inlineStr">
        <is>
          <t>A 19524-2024</t>
        </is>
      </c>
      <c r="B29" s="1" t="n">
        <v>45429</v>
      </c>
      <c r="C29" s="1" t="n">
        <v>46191</v>
      </c>
      <c r="D29" t="inlineStr">
        <is>
          <t>VÄRMLANDS LÄN</t>
        </is>
      </c>
      <c r="E29" t="inlineStr">
        <is>
          <t>GRUMS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Sädesärla</t>
        </is>
      </c>
      <c r="S29">
        <f>HYPERLINK("https://klasma.github.io/Logging_1764/artfynd/A 19524-2024 artfynd.xlsx", "A 19524-2024")</f>
        <v/>
      </c>
      <c r="T29">
        <f>HYPERLINK("https://klasma.github.io/Logging_1764/kartor/A 19524-2024 karta.png", "A 19524-2024")</f>
        <v/>
      </c>
      <c r="V29">
        <f>HYPERLINK("https://klasma.github.io/Logging_1764/klagomål/A 19524-2024 FSC-klagomål.docx", "A 19524-2024")</f>
        <v/>
      </c>
      <c r="W29">
        <f>HYPERLINK("https://klasma.github.io/Logging_1764/klagomålsmail/A 19524-2024 FSC-klagomål mail.docx", "A 19524-2024")</f>
        <v/>
      </c>
      <c r="X29">
        <f>HYPERLINK("https://klasma.github.io/Logging_1764/tillsyn/A 19524-2024 tillsynsbegäran.docx", "A 19524-2024")</f>
        <v/>
      </c>
      <c r="Y29">
        <f>HYPERLINK("https://klasma.github.io/Logging_1764/tillsynsmail/A 19524-2024 tillsynsbegäran mail.docx", "A 19524-2024")</f>
        <v/>
      </c>
    </row>
    <row r="30" ht="15" customHeight="1">
      <c r="A30" t="inlineStr">
        <is>
          <t>A 29582-2024</t>
        </is>
      </c>
      <c r="B30" s="1" t="n">
        <v>45484</v>
      </c>
      <c r="C30" s="1" t="n">
        <v>46191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HYPERLINK("https://klasma.github.io/Logging_1764/artfynd/A 29582-2024 artfynd.xlsx", "A 29582-2024")</f>
        <v/>
      </c>
      <c r="T30">
        <f>HYPERLINK("https://klasma.github.io/Logging_1764/kartor/A 29582-2024 karta.png", "A 29582-2024")</f>
        <v/>
      </c>
      <c r="V30">
        <f>HYPERLINK("https://klasma.github.io/Logging_1764/klagomål/A 29582-2024 FSC-klagomål.docx", "A 29582-2024")</f>
        <v/>
      </c>
      <c r="W30">
        <f>HYPERLINK("https://klasma.github.io/Logging_1764/klagomålsmail/A 29582-2024 FSC-klagomål mail.docx", "A 29582-2024")</f>
        <v/>
      </c>
      <c r="X30">
        <f>HYPERLINK("https://klasma.github.io/Logging_1764/tillsyn/A 29582-2024 tillsynsbegäran.docx", "A 29582-2024")</f>
        <v/>
      </c>
      <c r="Y30">
        <f>HYPERLINK("https://klasma.github.io/Logging_1764/tillsynsmail/A 29582-2024 tillsynsbegäran mail.docx", "A 29582-2024")</f>
        <v/>
      </c>
    </row>
    <row r="31" ht="15" customHeight="1">
      <c r="A31" t="inlineStr">
        <is>
          <t>A 62675-2023</t>
        </is>
      </c>
      <c r="B31" s="1" t="n">
        <v>45271</v>
      </c>
      <c r="C31" s="1" t="n">
        <v>46191</v>
      </c>
      <c r="D31" t="inlineStr">
        <is>
          <t>VÄRMLANDS LÄN</t>
        </is>
      </c>
      <c r="E31" t="inlineStr">
        <is>
          <t>GRUMS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HYPERLINK("https://klasma.github.io/Logging_1764/artfynd/A 62675-2023 artfynd.xlsx", "A 62675-2023")</f>
        <v/>
      </c>
      <c r="T31">
        <f>HYPERLINK("https://klasma.github.io/Logging_1764/kartor/A 62675-2023 karta.png", "A 62675-2023")</f>
        <v/>
      </c>
      <c r="V31">
        <f>HYPERLINK("https://klasma.github.io/Logging_1764/klagomål/A 62675-2023 FSC-klagomål.docx", "A 62675-2023")</f>
        <v/>
      </c>
      <c r="W31">
        <f>HYPERLINK("https://klasma.github.io/Logging_1764/klagomålsmail/A 62675-2023 FSC-klagomål mail.docx", "A 62675-2023")</f>
        <v/>
      </c>
      <c r="X31">
        <f>HYPERLINK("https://klasma.github.io/Logging_1764/tillsyn/A 62675-2023 tillsynsbegäran.docx", "A 62675-2023")</f>
        <v/>
      </c>
      <c r="Y31">
        <f>HYPERLINK("https://klasma.github.io/Logging_1764/tillsynsmail/A 62675-2023 tillsynsbegäran mail.docx", "A 62675-2023")</f>
        <v/>
      </c>
    </row>
    <row r="32" ht="15" customHeight="1">
      <c r="A32" t="inlineStr">
        <is>
          <t>A 15321-2023</t>
        </is>
      </c>
      <c r="B32" s="1" t="n">
        <v>45019</v>
      </c>
      <c r="C32" s="1" t="n">
        <v>46191</v>
      </c>
      <c r="D32" t="inlineStr">
        <is>
          <t>VÄRMLANDS LÄN</t>
        </is>
      </c>
      <c r="E32" t="inlineStr">
        <is>
          <t>GRUMS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HYPERLINK("https://klasma.github.io/Logging_1764/artfynd/A 15321-2023 artfynd.xlsx", "A 15321-2023")</f>
        <v/>
      </c>
      <c r="T32">
        <f>HYPERLINK("https://klasma.github.io/Logging_1764/kartor/A 15321-2023 karta.png", "A 15321-2023")</f>
        <v/>
      </c>
      <c r="V32">
        <f>HYPERLINK("https://klasma.github.io/Logging_1764/klagomål/A 15321-2023 FSC-klagomål.docx", "A 15321-2023")</f>
        <v/>
      </c>
      <c r="W32">
        <f>HYPERLINK("https://klasma.github.io/Logging_1764/klagomålsmail/A 15321-2023 FSC-klagomål mail.docx", "A 15321-2023")</f>
        <v/>
      </c>
      <c r="X32">
        <f>HYPERLINK("https://klasma.github.io/Logging_1764/tillsyn/A 15321-2023 tillsynsbegäran.docx", "A 15321-2023")</f>
        <v/>
      </c>
      <c r="Y32">
        <f>HYPERLINK("https://klasma.github.io/Logging_1764/tillsynsmail/A 15321-2023 tillsynsbegäran mail.docx", "A 15321-2023")</f>
        <v/>
      </c>
    </row>
    <row r="33" ht="15" customHeight="1">
      <c r="A33" t="inlineStr">
        <is>
          <t>A 26662-2025</t>
        </is>
      </c>
      <c r="B33" s="1" t="n">
        <v>45810</v>
      </c>
      <c r="C33" s="1" t="n">
        <v>46191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HYPERLINK("https://klasma.github.io/Logging_1764/artfynd/A 26662-2025 artfynd.xlsx", "A 26662-2025")</f>
        <v/>
      </c>
      <c r="T33">
        <f>HYPERLINK("https://klasma.github.io/Logging_1764/kartor/A 26662-2025 karta.png", "A 26662-2025")</f>
        <v/>
      </c>
      <c r="V33">
        <f>HYPERLINK("https://klasma.github.io/Logging_1764/klagomål/A 26662-2025 FSC-klagomål.docx", "A 26662-2025")</f>
        <v/>
      </c>
      <c r="W33">
        <f>HYPERLINK("https://klasma.github.io/Logging_1764/klagomålsmail/A 26662-2025 FSC-klagomål mail.docx", "A 26662-2025")</f>
        <v/>
      </c>
      <c r="X33">
        <f>HYPERLINK("https://klasma.github.io/Logging_1764/tillsyn/A 26662-2025 tillsynsbegäran.docx", "A 26662-2025")</f>
        <v/>
      </c>
      <c r="Y33">
        <f>HYPERLINK("https://klasma.github.io/Logging_1764/tillsynsmail/A 26662-2025 tillsynsbegäran mail.docx", "A 26662-2025")</f>
        <v/>
      </c>
    </row>
    <row r="34" ht="15" customHeight="1">
      <c r="A34" t="inlineStr">
        <is>
          <t>A 13121-2023</t>
        </is>
      </c>
      <c r="B34" s="1" t="n">
        <v>45002</v>
      </c>
      <c r="C34" s="1" t="n">
        <v>46191</v>
      </c>
      <c r="D34" t="inlineStr">
        <is>
          <t>VÄRMLANDS LÄN</t>
        </is>
      </c>
      <c r="E34" t="inlineStr">
        <is>
          <t>GRUMS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HYPERLINK("https://klasma.github.io/Logging_1764/artfynd/A 13121-2023 artfynd.xlsx", "A 13121-2023")</f>
        <v/>
      </c>
      <c r="T34">
        <f>HYPERLINK("https://klasma.github.io/Logging_1764/kartor/A 13121-2023 karta.png", "A 13121-2023")</f>
        <v/>
      </c>
      <c r="V34">
        <f>HYPERLINK("https://klasma.github.io/Logging_1764/klagomål/A 13121-2023 FSC-klagomål.docx", "A 13121-2023")</f>
        <v/>
      </c>
      <c r="W34">
        <f>HYPERLINK("https://klasma.github.io/Logging_1764/klagomålsmail/A 13121-2023 FSC-klagomål mail.docx", "A 13121-2023")</f>
        <v/>
      </c>
      <c r="X34">
        <f>HYPERLINK("https://klasma.github.io/Logging_1764/tillsyn/A 13121-2023 tillsynsbegäran.docx", "A 13121-2023")</f>
        <v/>
      </c>
      <c r="Y34">
        <f>HYPERLINK("https://klasma.github.io/Logging_1764/tillsynsmail/A 13121-2023 tillsynsbegäran mail.docx", "A 13121-2023")</f>
        <v/>
      </c>
    </row>
    <row r="35" ht="15" customHeight="1">
      <c r="A35" t="inlineStr">
        <is>
          <t>A 43244-2021</t>
        </is>
      </c>
      <c r="B35" s="1" t="n">
        <v>44432</v>
      </c>
      <c r="C35" s="1" t="n">
        <v>46191</v>
      </c>
      <c r="D35" t="inlineStr">
        <is>
          <t>VÄRMLANDS LÄN</t>
        </is>
      </c>
      <c r="E35" t="inlineStr">
        <is>
          <t>GRUMS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7589-2022</t>
        </is>
      </c>
      <c r="B36" s="1" t="n">
        <v>44607</v>
      </c>
      <c r="C36" s="1" t="n">
        <v>46191</v>
      </c>
      <c r="D36" t="inlineStr">
        <is>
          <t>VÄRMLANDS LÄN</t>
        </is>
      </c>
      <c r="E36" t="inlineStr">
        <is>
          <t>GRUMS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45960-2021</t>
        </is>
      </c>
      <c r="B37" s="1" t="n">
        <v>44441</v>
      </c>
      <c r="C37" s="1" t="n">
        <v>46191</v>
      </c>
      <c r="D37" t="inlineStr">
        <is>
          <t>VÄRMLANDS LÄN</t>
        </is>
      </c>
      <c r="E37" t="inlineStr">
        <is>
          <t>GRUMS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32304-2022</t>
        </is>
      </c>
      <c r="B38" s="1" t="n">
        <v>44781</v>
      </c>
      <c r="C38" s="1" t="n">
        <v>46191</v>
      </c>
      <c r="D38" t="inlineStr">
        <is>
          <t>VÄRMLANDS LÄN</t>
        </is>
      </c>
      <c r="E38" t="inlineStr">
        <is>
          <t>GRUMS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63963-2021</t>
        </is>
      </c>
      <c r="B39" s="1" t="n">
        <v>44509</v>
      </c>
      <c r="C39" s="1" t="n">
        <v>46191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1898-2022</t>
        </is>
      </c>
      <c r="B40" s="1" t="n">
        <v>44575</v>
      </c>
      <c r="C40" s="1" t="n">
        <v>46191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36506-2021</t>
        </is>
      </c>
      <c r="B41" s="1" t="n">
        <v>44391</v>
      </c>
      <c r="C41" s="1" t="n">
        <v>46191</v>
      </c>
      <c r="D41" t="inlineStr">
        <is>
          <t>VÄRMLANDS LÄN</t>
        </is>
      </c>
      <c r="E41" t="inlineStr">
        <is>
          <t>GRUMS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34652-2022</t>
        </is>
      </c>
      <c r="B42" s="1" t="n">
        <v>44795</v>
      </c>
      <c r="C42" s="1" t="n">
        <v>46191</v>
      </c>
      <c r="D42" t="inlineStr">
        <is>
          <t>VÄRMLANDS LÄN</t>
        </is>
      </c>
      <c r="E42" t="inlineStr">
        <is>
          <t>GRUMS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32443-2022</t>
        </is>
      </c>
      <c r="B43" s="1" t="n">
        <v>44782</v>
      </c>
      <c r="C43" s="1" t="n">
        <v>46191</v>
      </c>
      <c r="D43" t="inlineStr">
        <is>
          <t>VÄRMLANDS LÄN</t>
        </is>
      </c>
      <c r="E43" t="inlineStr">
        <is>
          <t>GRUMS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71903-2021</t>
        </is>
      </c>
      <c r="B44" s="1" t="n">
        <v>44543</v>
      </c>
      <c r="C44" s="1" t="n">
        <v>46191</v>
      </c>
      <c r="D44" t="inlineStr">
        <is>
          <t>VÄRMLANDS LÄN</t>
        </is>
      </c>
      <c r="E44" t="inlineStr">
        <is>
          <t>GRUMS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49116-2022</t>
        </is>
      </c>
      <c r="B45" s="1" t="n">
        <v>44860</v>
      </c>
      <c r="C45" s="1" t="n">
        <v>46191</v>
      </c>
      <c r="D45" t="inlineStr">
        <is>
          <t>VÄRMLANDS LÄN</t>
        </is>
      </c>
      <c r="E45" t="inlineStr">
        <is>
          <t>GRUMS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59863-2021</t>
        </is>
      </c>
      <c r="B46" s="1" t="n">
        <v>44494</v>
      </c>
      <c r="C46" s="1" t="n">
        <v>46191</v>
      </c>
      <c r="D46" t="inlineStr">
        <is>
          <t>VÄRMLANDS LÄN</t>
        </is>
      </c>
      <c r="E46" t="inlineStr">
        <is>
          <t>GRUMS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38209-2021</t>
        </is>
      </c>
      <c r="B47" s="1" t="n">
        <v>44405</v>
      </c>
      <c r="C47" s="1" t="n">
        <v>46191</v>
      </c>
      <c r="D47" t="inlineStr">
        <is>
          <t>VÄRMLANDS LÄN</t>
        </is>
      </c>
      <c r="E47" t="inlineStr">
        <is>
          <t>GRUMS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45052-2021</t>
        </is>
      </c>
      <c r="B48" s="1" t="n">
        <v>44439</v>
      </c>
      <c r="C48" s="1" t="n">
        <v>46191</v>
      </c>
      <c r="D48" t="inlineStr">
        <is>
          <t>VÄRMLANDS LÄN</t>
        </is>
      </c>
      <c r="E48" t="inlineStr">
        <is>
          <t>GRUMS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45384-2022</t>
        </is>
      </c>
      <c r="B49" s="1" t="n">
        <v>44844</v>
      </c>
      <c r="C49" s="1" t="n">
        <v>46191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39131-2021</t>
        </is>
      </c>
      <c r="B50" s="1" t="n">
        <v>44412</v>
      </c>
      <c r="C50" s="1" t="n">
        <v>46191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43806-2022</t>
        </is>
      </c>
      <c r="B51" s="1" t="n">
        <v>44838</v>
      </c>
      <c r="C51" s="1" t="n">
        <v>46191</v>
      </c>
      <c r="D51" t="inlineStr">
        <is>
          <t>VÄRMLANDS LÄN</t>
        </is>
      </c>
      <c r="E51" t="inlineStr">
        <is>
          <t>GRUMS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18791-2022</t>
        </is>
      </c>
      <c r="B52" s="1" t="n">
        <v>44690</v>
      </c>
      <c r="C52" s="1" t="n">
        <v>46191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46191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</v>
      </c>
      <c r="C54" s="1" t="n">
        <v>46191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46191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</v>
      </c>
      <c r="C56" s="1" t="n">
        <v>46191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31488-2021</t>
        </is>
      </c>
      <c r="B57" s="1" t="n">
        <v>44369</v>
      </c>
      <c r="C57" s="1" t="n">
        <v>46191</v>
      </c>
      <c r="D57" t="inlineStr">
        <is>
          <t>VÄRMLANDS LÄN</t>
        </is>
      </c>
      <c r="E57" t="inlineStr">
        <is>
          <t>GRUMS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52875-2021</t>
        </is>
      </c>
      <c r="B58" s="1" t="n">
        <v>44467</v>
      </c>
      <c r="C58" s="1" t="n">
        <v>46191</v>
      </c>
      <c r="D58" t="inlineStr">
        <is>
          <t>VÄRMLANDS LÄN</t>
        </is>
      </c>
      <c r="E58" t="inlineStr">
        <is>
          <t>GRUMS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63964-2021</t>
        </is>
      </c>
      <c r="B59" s="1" t="n">
        <v>44509</v>
      </c>
      <c r="C59" s="1" t="n">
        <v>46191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61306-2021</t>
        </is>
      </c>
      <c r="B60" s="1" t="n">
        <v>44498</v>
      </c>
      <c r="C60" s="1" t="n">
        <v>46191</v>
      </c>
      <c r="D60" t="inlineStr">
        <is>
          <t>VÄRMLANDS LÄN</t>
        </is>
      </c>
      <c r="E60" t="inlineStr">
        <is>
          <t>GRUMS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35391-2022</t>
        </is>
      </c>
      <c r="B61" s="1" t="n">
        <v>44798</v>
      </c>
      <c r="C61" s="1" t="n">
        <v>46191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39665-2021</t>
        </is>
      </c>
      <c r="B62" s="1" t="n">
        <v>44413</v>
      </c>
      <c r="C62" s="1" t="n">
        <v>46191</v>
      </c>
      <c r="D62" t="inlineStr">
        <is>
          <t>VÄRMLANDS LÄN</t>
        </is>
      </c>
      <c r="E62" t="inlineStr">
        <is>
          <t>GRUMS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30539-2022</t>
        </is>
      </c>
      <c r="B63" s="1" t="n">
        <v>44762</v>
      </c>
      <c r="C63" s="1" t="n">
        <v>46191</v>
      </c>
      <c r="D63" t="inlineStr">
        <is>
          <t>VÄRMLANDS LÄN</t>
        </is>
      </c>
      <c r="E63" t="inlineStr">
        <is>
          <t>GRUMS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9799-2022</t>
        </is>
      </c>
      <c r="B64" s="1" t="n">
        <v>44620</v>
      </c>
      <c r="C64" s="1" t="n">
        <v>46191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10894-2022</t>
        </is>
      </c>
      <c r="B65" s="1" t="n">
        <v>44627</v>
      </c>
      <c r="C65" s="1" t="n">
        <v>46191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46191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46191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46191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</v>
      </c>
      <c r="C69" s="1" t="n">
        <v>46191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46191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</v>
      </c>
      <c r="C71" s="1" t="n">
        <v>46191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52842-2021</t>
        </is>
      </c>
      <c r="B72" s="1" t="n">
        <v>44467</v>
      </c>
      <c r="C72" s="1" t="n">
        <v>46191</v>
      </c>
      <c r="D72" t="inlineStr">
        <is>
          <t>VÄRMLANDS LÄN</t>
        </is>
      </c>
      <c r="E72" t="inlineStr">
        <is>
          <t>GRUMS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46191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</v>
      </c>
      <c r="C74" s="1" t="n">
        <v>46191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46191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29699-2022</t>
        </is>
      </c>
      <c r="B76" s="1" t="n">
        <v>44755</v>
      </c>
      <c r="C76" s="1" t="n">
        <v>46191</v>
      </c>
      <c r="D76" t="inlineStr">
        <is>
          <t>VÄRMLANDS LÄN</t>
        </is>
      </c>
      <c r="E76" t="inlineStr">
        <is>
          <t>GRUMS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41810-2021</t>
        </is>
      </c>
      <c r="B77" s="1" t="n">
        <v>44425</v>
      </c>
      <c r="C77" s="1" t="n">
        <v>46191</v>
      </c>
      <c r="D77" t="inlineStr">
        <is>
          <t>VÄRMLANDS LÄN</t>
        </is>
      </c>
      <c r="E77" t="inlineStr">
        <is>
          <t>GRUMS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30334-2022</t>
        </is>
      </c>
      <c r="B78" s="1" t="n">
        <v>44760</v>
      </c>
      <c r="C78" s="1" t="n">
        <v>46191</v>
      </c>
      <c r="D78" t="inlineStr">
        <is>
          <t>VÄRMLANDS LÄN</t>
        </is>
      </c>
      <c r="E78" t="inlineStr">
        <is>
          <t>GRUMS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73306-2021</t>
        </is>
      </c>
      <c r="B79" s="1" t="n">
        <v>44547</v>
      </c>
      <c r="C79" s="1" t="n">
        <v>46191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53138-2023</t>
        </is>
      </c>
      <c r="B80" s="1" t="n">
        <v>45229</v>
      </c>
      <c r="C80" s="1" t="n">
        <v>46191</v>
      </c>
      <c r="D80" t="inlineStr">
        <is>
          <t>VÄRMLANDS LÄN</t>
        </is>
      </c>
      <c r="E80" t="inlineStr">
        <is>
          <t>GRUMS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16772-2024</t>
        </is>
      </c>
      <c r="B81" s="1" t="n">
        <v>45411</v>
      </c>
      <c r="C81" s="1" t="n">
        <v>46191</v>
      </c>
      <c r="D81" t="inlineStr">
        <is>
          <t>VÄRMLANDS LÄN</t>
        </is>
      </c>
      <c r="E81" t="inlineStr">
        <is>
          <t>GRUMS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39334-2025</t>
        </is>
      </c>
      <c r="B82" s="1" t="n">
        <v>45889</v>
      </c>
      <c r="C82" s="1" t="n">
        <v>46191</v>
      </c>
      <c r="D82" t="inlineStr">
        <is>
          <t>VÄRMLANDS LÄN</t>
        </is>
      </c>
      <c r="E82" t="inlineStr">
        <is>
          <t>GRUMS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12311-2024</t>
        </is>
      </c>
      <c r="B83" s="1" t="n">
        <v>45378</v>
      </c>
      <c r="C83" s="1" t="n">
        <v>46191</v>
      </c>
      <c r="D83" t="inlineStr">
        <is>
          <t>VÄRMLANDS LÄN</t>
        </is>
      </c>
      <c r="E83" t="inlineStr">
        <is>
          <t>GRUMS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66056-2021</t>
        </is>
      </c>
      <c r="B84" s="1" t="n">
        <v>44517</v>
      </c>
      <c r="C84" s="1" t="n">
        <v>46191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2581-2026</t>
        </is>
      </c>
      <c r="B85" s="1" t="n">
        <v>46037</v>
      </c>
      <c r="C85" s="1" t="n">
        <v>46191</v>
      </c>
      <c r="D85" t="inlineStr">
        <is>
          <t>VÄRMLANDS LÄN</t>
        </is>
      </c>
      <c r="E85" t="inlineStr">
        <is>
          <t>GRUMS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3054-2026</t>
        </is>
      </c>
      <c r="B86" s="1" t="n">
        <v>46039</v>
      </c>
      <c r="C86" s="1" t="n">
        <v>46191</v>
      </c>
      <c r="D86" t="inlineStr">
        <is>
          <t>VÄRMLANDS LÄN</t>
        </is>
      </c>
      <c r="E86" t="inlineStr">
        <is>
          <t>GRUMS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37486-2022</t>
        </is>
      </c>
      <c r="B87" s="1" t="n">
        <v>44809</v>
      </c>
      <c r="C87" s="1" t="n">
        <v>46191</v>
      </c>
      <c r="D87" t="inlineStr">
        <is>
          <t>VÄRMLANDS LÄN</t>
        </is>
      </c>
      <c r="E87" t="inlineStr">
        <is>
          <t>GRUMS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3065-2024</t>
        </is>
      </c>
      <c r="B88" s="1" t="n">
        <v>45316</v>
      </c>
      <c r="C88" s="1" t="n">
        <v>46191</v>
      </c>
      <c r="D88" t="inlineStr">
        <is>
          <t>VÄRMLANDS LÄN</t>
        </is>
      </c>
      <c r="E88" t="inlineStr">
        <is>
          <t>GRUMS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12082-2024</t>
        </is>
      </c>
      <c r="B89" s="1" t="n">
        <v>45377</v>
      </c>
      <c r="C89" s="1" t="n">
        <v>46191</v>
      </c>
      <c r="D89" t="inlineStr">
        <is>
          <t>VÄRMLANDS LÄN</t>
        </is>
      </c>
      <c r="E89" t="inlineStr">
        <is>
          <t>GRUMS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12084-2024</t>
        </is>
      </c>
      <c r="B90" s="1" t="n">
        <v>45377</v>
      </c>
      <c r="C90" s="1" t="n">
        <v>46191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41113-2025</t>
        </is>
      </c>
      <c r="B91" s="1" t="n">
        <v>45898</v>
      </c>
      <c r="C91" s="1" t="n">
        <v>46191</v>
      </c>
      <c r="D91" t="inlineStr">
        <is>
          <t>VÄRMLANDS LÄN</t>
        </is>
      </c>
      <c r="E91" t="inlineStr">
        <is>
          <t>GRUMS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20954-2023</t>
        </is>
      </c>
      <c r="B92" s="1" t="n">
        <v>45061</v>
      </c>
      <c r="C92" s="1" t="n">
        <v>46191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17443-2025</t>
        </is>
      </c>
      <c r="B93" s="1" t="n">
        <v>45757</v>
      </c>
      <c r="C93" s="1" t="n">
        <v>46191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20369-2024</t>
        </is>
      </c>
      <c r="B94" s="1" t="n">
        <v>45435</v>
      </c>
      <c r="C94" s="1" t="n">
        <v>46191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11601-2025</t>
        </is>
      </c>
      <c r="B95" s="1" t="n">
        <v>45727</v>
      </c>
      <c r="C95" s="1" t="n">
        <v>46191</v>
      </c>
      <c r="D95" t="inlineStr">
        <is>
          <t>VÄRMLANDS LÄN</t>
        </is>
      </c>
      <c r="E95" t="inlineStr">
        <is>
          <t>GRUMS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44497-2025</t>
        </is>
      </c>
      <c r="B96" s="1" t="n">
        <v>45916</v>
      </c>
      <c r="C96" s="1" t="n">
        <v>46191</v>
      </c>
      <c r="D96" t="inlineStr">
        <is>
          <t>VÄRMLANDS LÄN</t>
        </is>
      </c>
      <c r="E96" t="inlineStr">
        <is>
          <t>GRUMS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4976-2024</t>
        </is>
      </c>
      <c r="B97" s="1" t="n">
        <v>45329</v>
      </c>
      <c r="C97" s="1" t="n">
        <v>46191</v>
      </c>
      <c r="D97" t="inlineStr">
        <is>
          <t>VÄRMLANDS LÄN</t>
        </is>
      </c>
      <c r="E97" t="inlineStr">
        <is>
          <t>GRUMS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20238-2024</t>
        </is>
      </c>
      <c r="B98" s="1" t="n">
        <v>45434</v>
      </c>
      <c r="C98" s="1" t="n">
        <v>46191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12175-2024</t>
        </is>
      </c>
      <c r="B99" s="1" t="n">
        <v>45377</v>
      </c>
      <c r="C99" s="1" t="n">
        <v>46191</v>
      </c>
      <c r="D99" t="inlineStr">
        <is>
          <t>VÄRMLANDS LÄN</t>
        </is>
      </c>
      <c r="E99" t="inlineStr">
        <is>
          <t>GRUMS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21528-2024</t>
        </is>
      </c>
      <c r="B100" s="1" t="n">
        <v>45441</v>
      </c>
      <c r="C100" s="1" t="n">
        <v>46191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30527-2022</t>
        </is>
      </c>
      <c r="B101" s="1" t="n">
        <v>44762</v>
      </c>
      <c r="C101" s="1" t="n">
        <v>46191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19053-2024</t>
        </is>
      </c>
      <c r="B102" s="1" t="n">
        <v>45427</v>
      </c>
      <c r="C102" s="1" t="n">
        <v>46191</v>
      </c>
      <c r="D102" t="inlineStr">
        <is>
          <t>VÄRMLANDS LÄN</t>
        </is>
      </c>
      <c r="E102" t="inlineStr">
        <is>
          <t>GRUMS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45812-2025</t>
        </is>
      </c>
      <c r="B103" s="1" t="n">
        <v>45923</v>
      </c>
      <c r="C103" s="1" t="n">
        <v>46191</v>
      </c>
      <c r="D103" t="inlineStr">
        <is>
          <t>VÄRMLANDS LÄN</t>
        </is>
      </c>
      <c r="E103" t="inlineStr">
        <is>
          <t>GRUMS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45784-2025</t>
        </is>
      </c>
      <c r="B104" s="1" t="n">
        <v>45923</v>
      </c>
      <c r="C104" s="1" t="n">
        <v>46191</v>
      </c>
      <c r="D104" t="inlineStr">
        <is>
          <t>VÄRMLANDS LÄN</t>
        </is>
      </c>
      <c r="E104" t="inlineStr">
        <is>
          <t>GRUMS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45750-2025</t>
        </is>
      </c>
      <c r="B105" s="1" t="n">
        <v>45923</v>
      </c>
      <c r="C105" s="1" t="n">
        <v>46191</v>
      </c>
      <c r="D105" t="inlineStr">
        <is>
          <t>VÄRMLANDS LÄN</t>
        </is>
      </c>
      <c r="E105" t="inlineStr">
        <is>
          <t>GRUMS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45744-2025</t>
        </is>
      </c>
      <c r="B106" s="1" t="n">
        <v>45923</v>
      </c>
      <c r="C106" s="1" t="n">
        <v>46191</v>
      </c>
      <c r="D106" t="inlineStr">
        <is>
          <t>VÄRMLANDS LÄN</t>
        </is>
      </c>
      <c r="E106" t="inlineStr">
        <is>
          <t>GRUMS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42557-2022</t>
        </is>
      </c>
      <c r="B107" s="1" t="n">
        <v>44831</v>
      </c>
      <c r="C107" s="1" t="n">
        <v>46191</v>
      </c>
      <c r="D107" t="inlineStr">
        <is>
          <t>VÄRMLANDS LÄN</t>
        </is>
      </c>
      <c r="E107" t="inlineStr">
        <is>
          <t>GRUMS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23189-2024</t>
        </is>
      </c>
      <c r="B108" s="1" t="n">
        <v>45450</v>
      </c>
      <c r="C108" s="1" t="n">
        <v>46191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22347-2023</t>
        </is>
      </c>
      <c r="B109" s="1" t="n">
        <v>45070</v>
      </c>
      <c r="C109" s="1" t="n">
        <v>46191</v>
      </c>
      <c r="D109" t="inlineStr">
        <is>
          <t>VÄRMLANDS LÄN</t>
        </is>
      </c>
      <c r="E109" t="inlineStr">
        <is>
          <t>GRUMS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8732-2026</t>
        </is>
      </c>
      <c r="B110" s="1" t="n">
        <v>46066</v>
      </c>
      <c r="C110" s="1" t="n">
        <v>46191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4273-2025</t>
        </is>
      </c>
      <c r="B111" s="1" t="n">
        <v>45685</v>
      </c>
      <c r="C111" s="1" t="n">
        <v>46191</v>
      </c>
      <c r="D111" t="inlineStr">
        <is>
          <t>VÄRMLANDS LÄN</t>
        </is>
      </c>
      <c r="E111" t="inlineStr">
        <is>
          <t>GRUMS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56220-2023</t>
        </is>
      </c>
      <c r="B112" s="1" t="n">
        <v>45240</v>
      </c>
      <c r="C112" s="1" t="n">
        <v>46191</v>
      </c>
      <c r="D112" t="inlineStr">
        <is>
          <t>VÄRMLANDS LÄN</t>
        </is>
      </c>
      <c r="E112" t="inlineStr">
        <is>
          <t>GRUMS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47507-2025</t>
        </is>
      </c>
      <c r="B113" s="1" t="n">
        <v>45930</v>
      </c>
      <c r="C113" s="1" t="n">
        <v>46191</v>
      </c>
      <c r="D113" t="inlineStr">
        <is>
          <t>VÄRMLANDS LÄN</t>
        </is>
      </c>
      <c r="E113" t="inlineStr">
        <is>
          <t>GRUMS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56219-2023</t>
        </is>
      </c>
      <c r="B114" s="1" t="n">
        <v>45240</v>
      </c>
      <c r="C114" s="1" t="n">
        <v>46191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6721-2025</t>
        </is>
      </c>
      <c r="B115" s="1" t="n">
        <v>45700</v>
      </c>
      <c r="C115" s="1" t="n">
        <v>46191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13382-2024</t>
        </is>
      </c>
      <c r="B116" s="1" t="n">
        <v>45387</v>
      </c>
      <c r="C116" s="1" t="n">
        <v>46191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17437-2025</t>
        </is>
      </c>
      <c r="B117" s="1" t="n">
        <v>45757</v>
      </c>
      <c r="C117" s="1" t="n">
        <v>46191</v>
      </c>
      <c r="D117" t="inlineStr">
        <is>
          <t>VÄRMLANDS LÄN</t>
        </is>
      </c>
      <c r="E117" t="inlineStr">
        <is>
          <t>GRUMS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5841-2022</t>
        </is>
      </c>
      <c r="B118" s="1" t="n">
        <v>44596</v>
      </c>
      <c r="C118" s="1" t="n">
        <v>46191</v>
      </c>
      <c r="D118" t="inlineStr">
        <is>
          <t>VÄRMLANDS LÄN</t>
        </is>
      </c>
      <c r="E118" t="inlineStr">
        <is>
          <t>GRUMS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12000-2022</t>
        </is>
      </c>
      <c r="B119" s="1" t="n">
        <v>44635</v>
      </c>
      <c r="C119" s="1" t="n">
        <v>46191</v>
      </c>
      <c r="D119" t="inlineStr">
        <is>
          <t>VÄRMLANDS LÄN</t>
        </is>
      </c>
      <c r="E119" t="inlineStr">
        <is>
          <t>GRUMS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40935-2022</t>
        </is>
      </c>
      <c r="B120" s="1" t="n">
        <v>44823</v>
      </c>
      <c r="C120" s="1" t="n">
        <v>46191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49507-2025</t>
        </is>
      </c>
      <c r="B121" s="1" t="n">
        <v>45939</v>
      </c>
      <c r="C121" s="1" t="n">
        <v>46191</v>
      </c>
      <c r="D121" t="inlineStr">
        <is>
          <t>VÄRMLANDS LÄN</t>
        </is>
      </c>
      <c r="E121" t="inlineStr">
        <is>
          <t>GRUMS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36646-2023</t>
        </is>
      </c>
      <c r="B122" s="1" t="n">
        <v>45153</v>
      </c>
      <c r="C122" s="1" t="n">
        <v>46191</v>
      </c>
      <c r="D122" t="inlineStr">
        <is>
          <t>VÄRMLANDS LÄN</t>
        </is>
      </c>
      <c r="E122" t="inlineStr">
        <is>
          <t>GRUMS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25840-2024</t>
        </is>
      </c>
      <c r="B123" s="1" t="n">
        <v>45467</v>
      </c>
      <c r="C123" s="1" t="n">
        <v>46191</v>
      </c>
      <c r="D123" t="inlineStr">
        <is>
          <t>VÄRMLANDS LÄN</t>
        </is>
      </c>
      <c r="E123" t="inlineStr">
        <is>
          <t>GRUMS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3779-2025</t>
        </is>
      </c>
      <c r="B124" s="1" t="n">
        <v>45681</v>
      </c>
      <c r="C124" s="1" t="n">
        <v>46191</v>
      </c>
      <c r="D124" t="inlineStr">
        <is>
          <t>VÄRMLANDS LÄN</t>
        </is>
      </c>
      <c r="E124" t="inlineStr">
        <is>
          <t>GRUMS</t>
        </is>
      </c>
      <c r="F124" t="inlineStr">
        <is>
          <t>BillerudKorsnäs AB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12194-2026</t>
        </is>
      </c>
      <c r="B125" s="1" t="n">
        <v>46086</v>
      </c>
      <c r="C125" s="1" t="n">
        <v>46191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12283-2026</t>
        </is>
      </c>
      <c r="B126" s="1" t="n">
        <v>46087</v>
      </c>
      <c r="C126" s="1" t="n">
        <v>46191</v>
      </c>
      <c r="D126" t="inlineStr">
        <is>
          <t>VÄRMLANDS LÄN</t>
        </is>
      </c>
      <c r="E126" t="inlineStr">
        <is>
          <t>GRUMS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29724-2023</t>
        </is>
      </c>
      <c r="B127" s="1" t="n">
        <v>45107</v>
      </c>
      <c r="C127" s="1" t="n">
        <v>46191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8362-2025</t>
        </is>
      </c>
      <c r="B128" s="1" t="n">
        <v>45708</v>
      </c>
      <c r="C128" s="1" t="n">
        <v>46191</v>
      </c>
      <c r="D128" t="inlineStr">
        <is>
          <t>VÄRMLANDS LÄN</t>
        </is>
      </c>
      <c r="E128" t="inlineStr">
        <is>
          <t>GRUMS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51509-2025</t>
        </is>
      </c>
      <c r="B129" s="1" t="n">
        <v>45950</v>
      </c>
      <c r="C129" s="1" t="n">
        <v>46191</v>
      </c>
      <c r="D129" t="inlineStr">
        <is>
          <t>VÄRMLANDS LÄN</t>
        </is>
      </c>
      <c r="E129" t="inlineStr">
        <is>
          <t>GRUMS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972-2025</t>
        </is>
      </c>
      <c r="B130" s="1" t="n">
        <v>45665</v>
      </c>
      <c r="C130" s="1" t="n">
        <v>46191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28228-2024</t>
        </is>
      </c>
      <c r="B131" s="1" t="n">
        <v>45477</v>
      </c>
      <c r="C131" s="1" t="n">
        <v>46191</v>
      </c>
      <c r="D131" t="inlineStr">
        <is>
          <t>VÄRMLANDS LÄN</t>
        </is>
      </c>
      <c r="E131" t="inlineStr">
        <is>
          <t>GRUMS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49300-2022</t>
        </is>
      </c>
      <c r="B132" s="1" t="n">
        <v>44861</v>
      </c>
      <c r="C132" s="1" t="n">
        <v>46191</v>
      </c>
      <c r="D132" t="inlineStr">
        <is>
          <t>VÄRMLANDS LÄN</t>
        </is>
      </c>
      <c r="E132" t="inlineStr">
        <is>
          <t>GRUMS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16635-2024</t>
        </is>
      </c>
      <c r="B133" s="1" t="n">
        <v>45408</v>
      </c>
      <c r="C133" s="1" t="n">
        <v>46191</v>
      </c>
      <c r="D133" t="inlineStr">
        <is>
          <t>VÄRMLANDS LÄN</t>
        </is>
      </c>
      <c r="E133" t="inlineStr">
        <is>
          <t>GRUMS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37676-2023</t>
        </is>
      </c>
      <c r="B134" s="1" t="n">
        <v>45159</v>
      </c>
      <c r="C134" s="1" t="n">
        <v>46191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52700-2025</t>
        </is>
      </c>
      <c r="B135" s="1" t="n">
        <v>45956</v>
      </c>
      <c r="C135" s="1" t="n">
        <v>46191</v>
      </c>
      <c r="D135" t="inlineStr">
        <is>
          <t>VÄRMLANDS LÄN</t>
        </is>
      </c>
      <c r="E135" t="inlineStr">
        <is>
          <t>GRUMS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52699-2025</t>
        </is>
      </c>
      <c r="B136" s="1" t="n">
        <v>45956</v>
      </c>
      <c r="C136" s="1" t="n">
        <v>46191</v>
      </c>
      <c r="D136" t="inlineStr">
        <is>
          <t>VÄRMLANDS LÄN</t>
        </is>
      </c>
      <c r="E136" t="inlineStr">
        <is>
          <t>GRUMS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14688-2026</t>
        </is>
      </c>
      <c r="B137" s="1" t="n">
        <v>46101</v>
      </c>
      <c r="C137" s="1" t="n">
        <v>46191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53137-2023</t>
        </is>
      </c>
      <c r="B138" s="1" t="n">
        <v>45229</v>
      </c>
      <c r="C138" s="1" t="n">
        <v>46191</v>
      </c>
      <c r="D138" t="inlineStr">
        <is>
          <t>VÄRMLANDS LÄN</t>
        </is>
      </c>
      <c r="E138" t="inlineStr">
        <is>
          <t>GRUMS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25014-2024</t>
        </is>
      </c>
      <c r="B139" s="1" t="n">
        <v>45461</v>
      </c>
      <c r="C139" s="1" t="n">
        <v>46191</v>
      </c>
      <c r="D139" t="inlineStr">
        <is>
          <t>VÄRMLANDS LÄN</t>
        </is>
      </c>
      <c r="E139" t="inlineStr">
        <is>
          <t>GRUMS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8788-2024</t>
        </is>
      </c>
      <c r="B140" s="1" t="n">
        <v>45356</v>
      </c>
      <c r="C140" s="1" t="n">
        <v>46191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680-2024</t>
        </is>
      </c>
      <c r="B141" s="1" t="n">
        <v>45300</v>
      </c>
      <c r="C141" s="1" t="n">
        <v>46191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46299-2022</t>
        </is>
      </c>
      <c r="B142" s="1" t="n">
        <v>44847</v>
      </c>
      <c r="C142" s="1" t="n">
        <v>46191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17081-2024</t>
        </is>
      </c>
      <c r="B143" s="1" t="n">
        <v>45412</v>
      </c>
      <c r="C143" s="1" t="n">
        <v>46191</v>
      </c>
      <c r="D143" t="inlineStr">
        <is>
          <t>VÄRMLANDS LÄN</t>
        </is>
      </c>
      <c r="E143" t="inlineStr">
        <is>
          <t>GRUMS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62682-2023</t>
        </is>
      </c>
      <c r="B144" s="1" t="n">
        <v>45271</v>
      </c>
      <c r="C144" s="1" t="n">
        <v>46191</v>
      </c>
      <c r="D144" t="inlineStr">
        <is>
          <t>VÄRMLANDS LÄN</t>
        </is>
      </c>
      <c r="E144" t="inlineStr">
        <is>
          <t>GRUMS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15543-2026</t>
        </is>
      </c>
      <c r="B145" s="1" t="n">
        <v>46106</v>
      </c>
      <c r="C145" s="1" t="n">
        <v>46191</v>
      </c>
      <c r="D145" t="inlineStr">
        <is>
          <t>VÄRMLANDS LÄN</t>
        </is>
      </c>
      <c r="E145" t="inlineStr">
        <is>
          <t>GRUMS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15549-2026</t>
        </is>
      </c>
      <c r="B146" s="1" t="n">
        <v>46106</v>
      </c>
      <c r="C146" s="1" t="n">
        <v>46191</v>
      </c>
      <c r="D146" t="inlineStr">
        <is>
          <t>VÄRMLANDS LÄN</t>
        </is>
      </c>
      <c r="E146" t="inlineStr">
        <is>
          <t>GRUMS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62554-2022</t>
        </is>
      </c>
      <c r="B147" s="1" t="n">
        <v>44924</v>
      </c>
      <c r="C147" s="1" t="n">
        <v>46191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57236-2023</t>
        </is>
      </c>
      <c r="B148" s="1" t="n">
        <v>45245</v>
      </c>
      <c r="C148" s="1" t="n">
        <v>46191</v>
      </c>
      <c r="D148" t="inlineStr">
        <is>
          <t>VÄRMLANDS LÄN</t>
        </is>
      </c>
      <c r="E148" t="inlineStr">
        <is>
          <t>GRUMS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57237-2023</t>
        </is>
      </c>
      <c r="B149" s="1" t="n">
        <v>45245</v>
      </c>
      <c r="C149" s="1" t="n">
        <v>46191</v>
      </c>
      <c r="D149" t="inlineStr">
        <is>
          <t>VÄRMLANDS LÄN</t>
        </is>
      </c>
      <c r="E149" t="inlineStr">
        <is>
          <t>GRUMS</t>
        </is>
      </c>
      <c r="G149" t="n">
        <v>18.2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16213-2026</t>
        </is>
      </c>
      <c r="B150" s="1" t="n">
        <v>46108</v>
      </c>
      <c r="C150" s="1" t="n">
        <v>46191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22406-2026</t>
        </is>
      </c>
      <c r="B151" s="1" t="n">
        <v>46154</v>
      </c>
      <c r="C151" s="1" t="n">
        <v>46191</v>
      </c>
      <c r="D151" t="inlineStr">
        <is>
          <t>VÄRMLANDS LÄN</t>
        </is>
      </c>
      <c r="E151" t="inlineStr">
        <is>
          <t>GRUMS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53209-2021</t>
        </is>
      </c>
      <c r="B152" s="1" t="n">
        <v>44468</v>
      </c>
      <c r="C152" s="1" t="n">
        <v>46191</v>
      </c>
      <c r="D152" t="inlineStr">
        <is>
          <t>VÄRMLANDS LÄN</t>
        </is>
      </c>
      <c r="E152" t="inlineStr">
        <is>
          <t>GRUMS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73310-2021</t>
        </is>
      </c>
      <c r="B153" s="1" t="n">
        <v>44547</v>
      </c>
      <c r="C153" s="1" t="n">
        <v>46191</v>
      </c>
      <c r="D153" t="inlineStr">
        <is>
          <t>VÄRMLANDS LÄN</t>
        </is>
      </c>
      <c r="E153" t="inlineStr">
        <is>
          <t>GRUMS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29577-2024</t>
        </is>
      </c>
      <c r="B154" s="1" t="n">
        <v>45484</v>
      </c>
      <c r="C154" s="1" t="n">
        <v>46191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27443-2024</t>
        </is>
      </c>
      <c r="B155" s="1" t="n">
        <v>45474</v>
      </c>
      <c r="C155" s="1" t="n">
        <v>46191</v>
      </c>
      <c r="D155" t="inlineStr">
        <is>
          <t>VÄRMLANDS LÄN</t>
        </is>
      </c>
      <c r="E155" t="inlineStr">
        <is>
          <t>GRUMS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32959-2022</t>
        </is>
      </c>
      <c r="B156" s="1" t="n">
        <v>44784</v>
      </c>
      <c r="C156" s="1" t="n">
        <v>46191</v>
      </c>
      <c r="D156" t="inlineStr">
        <is>
          <t>VÄRMLANDS LÄN</t>
        </is>
      </c>
      <c r="E156" t="inlineStr">
        <is>
          <t>GRUMS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13320-2024</t>
        </is>
      </c>
      <c r="B157" s="1" t="n">
        <v>45386</v>
      </c>
      <c r="C157" s="1" t="n">
        <v>46191</v>
      </c>
      <c r="D157" t="inlineStr">
        <is>
          <t>VÄRMLANDS LÄN</t>
        </is>
      </c>
      <c r="E157" t="inlineStr">
        <is>
          <t>GRUMS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38517-2024</t>
        </is>
      </c>
      <c r="B158" s="1" t="n">
        <v>45546</v>
      </c>
      <c r="C158" s="1" t="n">
        <v>46191</v>
      </c>
      <c r="D158" t="inlineStr">
        <is>
          <t>VÄRMLANDS LÄN</t>
        </is>
      </c>
      <c r="E158" t="inlineStr">
        <is>
          <t>GRUMS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58747-2025</t>
        </is>
      </c>
      <c r="B159" s="1" t="n">
        <v>45986</v>
      </c>
      <c r="C159" s="1" t="n">
        <v>46191</v>
      </c>
      <c r="D159" t="inlineStr">
        <is>
          <t>VÄRMLANDS LÄN</t>
        </is>
      </c>
      <c r="E159" t="inlineStr">
        <is>
          <t>GRUMS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58751-2025</t>
        </is>
      </c>
      <c r="B160" s="1" t="n">
        <v>45986</v>
      </c>
      <c r="C160" s="1" t="n">
        <v>46191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37119-2024</t>
        </is>
      </c>
      <c r="B161" s="1" t="n">
        <v>45539</v>
      </c>
      <c r="C161" s="1" t="n">
        <v>46191</v>
      </c>
      <c r="D161" t="inlineStr">
        <is>
          <t>VÄRMLANDS LÄN</t>
        </is>
      </c>
      <c r="E161" t="inlineStr">
        <is>
          <t>GRUMS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23757-2026</t>
        </is>
      </c>
      <c r="B162" s="1" t="n">
        <v>46164</v>
      </c>
      <c r="C162" s="1" t="n">
        <v>46191</v>
      </c>
      <c r="D162" t="inlineStr">
        <is>
          <t>VÄRMLANDS LÄN</t>
        </is>
      </c>
      <c r="E162" t="inlineStr">
        <is>
          <t>GRUMS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23945-2026</t>
        </is>
      </c>
      <c r="B163" s="1" t="n">
        <v>46167</v>
      </c>
      <c r="C163" s="1" t="n">
        <v>46191</v>
      </c>
      <c r="D163" t="inlineStr">
        <is>
          <t>VÄRMLANDS LÄN</t>
        </is>
      </c>
      <c r="E163" t="inlineStr">
        <is>
          <t>GRUMS</t>
        </is>
      </c>
      <c r="F163" t="inlineStr">
        <is>
          <t>Kommuner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23733-2026</t>
        </is>
      </c>
      <c r="B164" s="1" t="n">
        <v>46164</v>
      </c>
      <c r="C164" s="1" t="n">
        <v>46191</v>
      </c>
      <c r="D164" t="inlineStr">
        <is>
          <t>VÄRMLANDS LÄN</t>
        </is>
      </c>
      <c r="E164" t="inlineStr">
        <is>
          <t>GRUMS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19802-2024</t>
        </is>
      </c>
      <c r="B165" s="1" t="n">
        <v>45432</v>
      </c>
      <c r="C165" s="1" t="n">
        <v>46191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34580-2022</t>
        </is>
      </c>
      <c r="B166" s="1" t="n">
        <v>44795</v>
      </c>
      <c r="C166" s="1" t="n">
        <v>46191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23702-2026</t>
        </is>
      </c>
      <c r="B167" s="1" t="n">
        <v>46164</v>
      </c>
      <c r="C167" s="1" t="n">
        <v>46191</v>
      </c>
      <c r="D167" t="inlineStr">
        <is>
          <t>VÄRMLANDS LÄN</t>
        </is>
      </c>
      <c r="E167" t="inlineStr">
        <is>
          <t>GRUMS</t>
        </is>
      </c>
      <c r="F167" t="inlineStr">
        <is>
          <t>Kommuner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60656-2025</t>
        </is>
      </c>
      <c r="B168" s="1" t="n">
        <v>45996</v>
      </c>
      <c r="C168" s="1" t="n">
        <v>46191</v>
      </c>
      <c r="D168" t="inlineStr">
        <is>
          <t>VÄRMLANDS LÄN</t>
        </is>
      </c>
      <c r="E168" t="inlineStr">
        <is>
          <t>GRUMS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19566-2023</t>
        </is>
      </c>
      <c r="B169" s="1" t="n">
        <v>45049</v>
      </c>
      <c r="C169" s="1" t="n">
        <v>46191</v>
      </c>
      <c r="D169" t="inlineStr">
        <is>
          <t>VÄRMLANDS LÄN</t>
        </is>
      </c>
      <c r="E169" t="inlineStr">
        <is>
          <t>GRUMS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7272-2022</t>
        </is>
      </c>
      <c r="B170" s="1" t="n">
        <v>44606</v>
      </c>
      <c r="C170" s="1" t="n">
        <v>46191</v>
      </c>
      <c r="D170" t="inlineStr">
        <is>
          <t>VÄRMLANDS LÄN</t>
        </is>
      </c>
      <c r="E170" t="inlineStr">
        <is>
          <t>GRUMS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24754-2026</t>
        </is>
      </c>
      <c r="B171" s="1" t="n">
        <v>46171</v>
      </c>
      <c r="C171" s="1" t="n">
        <v>46191</v>
      </c>
      <c r="D171" t="inlineStr">
        <is>
          <t>VÄRMLANDS LÄN</t>
        </is>
      </c>
      <c r="E171" t="inlineStr">
        <is>
          <t>GRUMS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22822-2024</t>
        </is>
      </c>
      <c r="B172" s="1" t="n">
        <v>45448</v>
      </c>
      <c r="C172" s="1" t="n">
        <v>46191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24752-2026</t>
        </is>
      </c>
      <c r="B173" s="1" t="n">
        <v>46171</v>
      </c>
      <c r="C173" s="1" t="n">
        <v>46191</v>
      </c>
      <c r="D173" t="inlineStr">
        <is>
          <t>VÄRMLANDS LÄN</t>
        </is>
      </c>
      <c r="E173" t="inlineStr">
        <is>
          <t>GRUMS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59542-2022</t>
        </is>
      </c>
      <c r="B174" s="1" t="n">
        <v>44907</v>
      </c>
      <c r="C174" s="1" t="n">
        <v>46191</v>
      </c>
      <c r="D174" t="inlineStr">
        <is>
          <t>VÄRMLANDS LÄN</t>
        </is>
      </c>
      <c r="E174" t="inlineStr">
        <is>
          <t>GRUMS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19054-2026</t>
        </is>
      </c>
      <c r="B175" s="1" t="n">
        <v>46132</v>
      </c>
      <c r="C175" s="1" t="n">
        <v>46191</v>
      </c>
      <c r="D175" t="inlineStr">
        <is>
          <t>VÄRMLANDS LÄN</t>
        </is>
      </c>
      <c r="E175" t="inlineStr">
        <is>
          <t>GRUMS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21402-2024</t>
        </is>
      </c>
      <c r="B176" s="1" t="n">
        <v>45441</v>
      </c>
      <c r="C176" s="1" t="n">
        <v>46191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45467-2022</t>
        </is>
      </c>
      <c r="B177" s="1" t="n">
        <v>44845</v>
      </c>
      <c r="C177" s="1" t="n">
        <v>46191</v>
      </c>
      <c r="D177" t="inlineStr">
        <is>
          <t>VÄRMLANDS LÄN</t>
        </is>
      </c>
      <c r="E177" t="inlineStr">
        <is>
          <t>GRUMS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71781-2021</t>
        </is>
      </c>
      <c r="B178" s="1" t="n">
        <v>44539</v>
      </c>
      <c r="C178" s="1" t="n">
        <v>46191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31930-2024</t>
        </is>
      </c>
      <c r="B179" s="1" t="n">
        <v>45510</v>
      </c>
      <c r="C179" s="1" t="n">
        <v>46191</v>
      </c>
      <c r="D179" t="inlineStr">
        <is>
          <t>VÄRMLANDS LÄN</t>
        </is>
      </c>
      <c r="E179" t="inlineStr">
        <is>
          <t>GRUMS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73901-2021</t>
        </is>
      </c>
      <c r="B180" s="1" t="n">
        <v>44552</v>
      </c>
      <c r="C180" s="1" t="n">
        <v>46191</v>
      </c>
      <c r="D180" t="inlineStr">
        <is>
          <t>VÄRMLANDS LÄN</t>
        </is>
      </c>
      <c r="E180" t="inlineStr">
        <is>
          <t>GRUMS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59391-2025</t>
        </is>
      </c>
      <c r="B181" s="1" t="n">
        <v>45989</v>
      </c>
      <c r="C181" s="1" t="n">
        <v>46191</v>
      </c>
      <c r="D181" t="inlineStr">
        <is>
          <t>VÄRMLANDS LÄN</t>
        </is>
      </c>
      <c r="E181" t="inlineStr">
        <is>
          <t>GRUMS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29256-2025</t>
        </is>
      </c>
      <c r="B182" s="1" t="n">
        <v>45824</v>
      </c>
      <c r="C182" s="1" t="n">
        <v>46191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26840-2023</t>
        </is>
      </c>
      <c r="B183" s="1" t="n">
        <v>45093</v>
      </c>
      <c r="C183" s="1" t="n">
        <v>46191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21248-2022</t>
        </is>
      </c>
      <c r="B184" s="1" t="n">
        <v>44705</v>
      </c>
      <c r="C184" s="1" t="n">
        <v>46191</v>
      </c>
      <c r="D184" t="inlineStr">
        <is>
          <t>VÄRMLANDS LÄN</t>
        </is>
      </c>
      <c r="E184" t="inlineStr">
        <is>
          <t>GRUMS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13820-2024</t>
        </is>
      </c>
      <c r="B185" s="1" t="n">
        <v>45390</v>
      </c>
      <c r="C185" s="1" t="n">
        <v>46191</v>
      </c>
      <c r="D185" t="inlineStr">
        <is>
          <t>VÄRMLANDS LÄN</t>
        </is>
      </c>
      <c r="E185" t="inlineStr">
        <is>
          <t>GRUMS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58705-2024</t>
        </is>
      </c>
      <c r="B186" s="1" t="n">
        <v>45635</v>
      </c>
      <c r="C186" s="1" t="n">
        <v>46191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5011-2024</t>
        </is>
      </c>
      <c r="B187" s="1" t="n">
        <v>45329</v>
      </c>
      <c r="C187" s="1" t="n">
        <v>46191</v>
      </c>
      <c r="D187" t="inlineStr">
        <is>
          <t>VÄRMLANDS LÄN</t>
        </is>
      </c>
      <c r="E187" t="inlineStr">
        <is>
          <t>GRUMS</t>
        </is>
      </c>
      <c r="G187" t="n">
        <v>22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42143-2025</t>
        </is>
      </c>
      <c r="B188" s="1" t="n">
        <v>45904</v>
      </c>
      <c r="C188" s="1" t="n">
        <v>46191</v>
      </c>
      <c r="D188" t="inlineStr">
        <is>
          <t>VÄRMLANDS LÄN</t>
        </is>
      </c>
      <c r="E188" t="inlineStr">
        <is>
          <t>GRUMS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36644-2023</t>
        </is>
      </c>
      <c r="B189" s="1" t="n">
        <v>45153</v>
      </c>
      <c r="C189" s="1" t="n">
        <v>46191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40522-2025</t>
        </is>
      </c>
      <c r="B190" s="1" t="n">
        <v>45896</v>
      </c>
      <c r="C190" s="1" t="n">
        <v>46191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5214-2025</t>
        </is>
      </c>
      <c r="B191" s="1" t="n">
        <v>45691</v>
      </c>
      <c r="C191" s="1" t="n">
        <v>46191</v>
      </c>
      <c r="D191" t="inlineStr">
        <is>
          <t>VÄRMLANDS LÄN</t>
        </is>
      </c>
      <c r="E191" t="inlineStr">
        <is>
          <t>GRUMS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7922-2022</t>
        </is>
      </c>
      <c r="B192" s="1" t="n">
        <v>44608</v>
      </c>
      <c r="C192" s="1" t="n">
        <v>46191</v>
      </c>
      <c r="D192" t="inlineStr">
        <is>
          <t>VÄRMLANDS LÄN</t>
        </is>
      </c>
      <c r="E192" t="inlineStr">
        <is>
          <t>GRUMS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18341-2025</t>
        </is>
      </c>
      <c r="B193" s="1" t="n">
        <v>45762</v>
      </c>
      <c r="C193" s="1" t="n">
        <v>46191</v>
      </c>
      <c r="D193" t="inlineStr">
        <is>
          <t>VÄRMLANDS LÄN</t>
        </is>
      </c>
      <c r="E193" t="inlineStr">
        <is>
          <t>GRUMS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62905-2023</t>
        </is>
      </c>
      <c r="B194" s="1" t="n">
        <v>45272</v>
      </c>
      <c r="C194" s="1" t="n">
        <v>46191</v>
      </c>
      <c r="D194" t="inlineStr">
        <is>
          <t>VÄRMLANDS LÄN</t>
        </is>
      </c>
      <c r="E194" t="inlineStr">
        <is>
          <t>GRUMS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5126-2023</t>
        </is>
      </c>
      <c r="B195" s="1" t="n">
        <v>44958</v>
      </c>
      <c r="C195" s="1" t="n">
        <v>46191</v>
      </c>
      <c r="D195" t="inlineStr">
        <is>
          <t>VÄRMLANDS LÄN</t>
        </is>
      </c>
      <c r="E195" t="inlineStr">
        <is>
          <t>GRUMS</t>
        </is>
      </c>
      <c r="G195" t="n">
        <v>14.3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52848-2021</t>
        </is>
      </c>
      <c r="B196" s="1" t="n">
        <v>44467</v>
      </c>
      <c r="C196" s="1" t="n">
        <v>46191</v>
      </c>
      <c r="D196" t="inlineStr">
        <is>
          <t>VÄRMLANDS LÄN</t>
        </is>
      </c>
      <c r="E196" t="inlineStr">
        <is>
          <t>GRUMS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10892-2022</t>
        </is>
      </c>
      <c r="B197" s="1" t="n">
        <v>44627</v>
      </c>
      <c r="C197" s="1" t="n">
        <v>46191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32302-2024</t>
        </is>
      </c>
      <c r="B198" s="1" t="n">
        <v>45512</v>
      </c>
      <c r="C198" s="1" t="n">
        <v>46191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31362-2024</t>
        </is>
      </c>
      <c r="B199" s="1" t="n">
        <v>45505</v>
      </c>
      <c r="C199" s="1" t="n">
        <v>46191</v>
      </c>
      <c r="D199" t="inlineStr">
        <is>
          <t>VÄRMLANDS LÄN</t>
        </is>
      </c>
      <c r="E199" t="inlineStr">
        <is>
          <t>GRUMS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19753-2024</t>
        </is>
      </c>
      <c r="B200" s="1" t="n">
        <v>45432</v>
      </c>
      <c r="C200" s="1" t="n">
        <v>46191</v>
      </c>
      <c r="D200" t="inlineStr">
        <is>
          <t>VÄRMLANDS LÄN</t>
        </is>
      </c>
      <c r="E200" t="inlineStr">
        <is>
          <t>GRUMS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62557-2022</t>
        </is>
      </c>
      <c r="B201" s="1" t="n">
        <v>44924</v>
      </c>
      <c r="C201" s="1" t="n">
        <v>46191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7991-2024</t>
        </is>
      </c>
      <c r="B202" s="1" t="n">
        <v>45350</v>
      </c>
      <c r="C202" s="1" t="n">
        <v>46191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4982-2024</t>
        </is>
      </c>
      <c r="B203" s="1" t="n">
        <v>45329</v>
      </c>
      <c r="C203" s="1" t="n">
        <v>46191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20784-2025</t>
        </is>
      </c>
      <c r="B204" s="1" t="n">
        <v>45776</v>
      </c>
      <c r="C204" s="1" t="n">
        <v>46191</v>
      </c>
      <c r="D204" t="inlineStr">
        <is>
          <t>VÄRMLANDS LÄN</t>
        </is>
      </c>
      <c r="E204" t="inlineStr">
        <is>
          <t>GRUMS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55227-2023</t>
        </is>
      </c>
      <c r="B205" s="1" t="n">
        <v>45231</v>
      </c>
      <c r="C205" s="1" t="n">
        <v>46191</v>
      </c>
      <c r="D205" t="inlineStr">
        <is>
          <t>VÄRMLANDS LÄN</t>
        </is>
      </c>
      <c r="E205" t="inlineStr">
        <is>
          <t>GRUMS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614-2026</t>
        </is>
      </c>
      <c r="B206" s="1" t="n">
        <v>46024</v>
      </c>
      <c r="C206" s="1" t="n">
        <v>46191</v>
      </c>
      <c r="D206" t="inlineStr">
        <is>
          <t>VÄRMLANDS LÄN</t>
        </is>
      </c>
      <c r="E206" t="inlineStr">
        <is>
          <t>GRUMS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9837-2023</t>
        </is>
      </c>
      <c r="B207" s="1" t="n">
        <v>44984</v>
      </c>
      <c r="C207" s="1" t="n">
        <v>46191</v>
      </c>
      <c r="D207" t="inlineStr">
        <is>
          <t>VÄRMLANDS LÄN</t>
        </is>
      </c>
      <c r="E207" t="inlineStr">
        <is>
          <t>GRUMS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1556-2025</t>
        </is>
      </c>
      <c r="B208" s="1" t="n">
        <v>45670</v>
      </c>
      <c r="C208" s="1" t="n">
        <v>46191</v>
      </c>
      <c r="D208" t="inlineStr">
        <is>
          <t>VÄRMLANDS LÄN</t>
        </is>
      </c>
      <c r="E208" t="inlineStr">
        <is>
          <t>GRUMS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26015-2026</t>
        </is>
      </c>
      <c r="B209" s="1" t="n">
        <v>46181</v>
      </c>
      <c r="C209" s="1" t="n">
        <v>46191</v>
      </c>
      <c r="D209" t="inlineStr">
        <is>
          <t>VÄRMLANDS LÄN</t>
        </is>
      </c>
      <c r="E209" t="inlineStr">
        <is>
          <t>GRUMS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5810-2023</t>
        </is>
      </c>
      <c r="B210" s="1" t="n">
        <v>44963</v>
      </c>
      <c r="C210" s="1" t="n">
        <v>46191</v>
      </c>
      <c r="D210" t="inlineStr">
        <is>
          <t>VÄRMLANDS LÄN</t>
        </is>
      </c>
      <c r="E210" t="inlineStr">
        <is>
          <t>GRUMS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46191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40524-2025</t>
        </is>
      </c>
      <c r="B212" s="1" t="n">
        <v>45896</v>
      </c>
      <c r="C212" s="1" t="n">
        <v>46191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59617-2025</t>
        </is>
      </c>
      <c r="B213" s="1" t="n">
        <v>45992</v>
      </c>
      <c r="C213" s="1" t="n">
        <v>46191</v>
      </c>
      <c r="D213" t="inlineStr">
        <is>
          <t>VÄRMLANDS LÄN</t>
        </is>
      </c>
      <c r="E213" t="inlineStr">
        <is>
          <t>GRUMS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31561-2023</t>
        </is>
      </c>
      <c r="B214" s="1" t="n">
        <v>45117</v>
      </c>
      <c r="C214" s="1" t="n">
        <v>46191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64304-2023</t>
        </is>
      </c>
      <c r="B215" s="1" t="n">
        <v>45280</v>
      </c>
      <c r="C215" s="1" t="n">
        <v>46191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43242-2021</t>
        </is>
      </c>
      <c r="B216" s="1" t="n">
        <v>44432</v>
      </c>
      <c r="C216" s="1" t="n">
        <v>46191</v>
      </c>
      <c r="D216" t="inlineStr">
        <is>
          <t>VÄRMLANDS LÄN</t>
        </is>
      </c>
      <c r="E216" t="inlineStr">
        <is>
          <t>GRUMS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5236-2023</t>
        </is>
      </c>
      <c r="B217" s="1" t="n">
        <v>44956</v>
      </c>
      <c r="C217" s="1" t="n">
        <v>46191</v>
      </c>
      <c r="D217" t="inlineStr">
        <is>
          <t>VÄRMLANDS LÄN</t>
        </is>
      </c>
      <c r="E217" t="inlineStr">
        <is>
          <t>GRUMS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8364-2025</t>
        </is>
      </c>
      <c r="B218" s="1" t="n">
        <v>45708</v>
      </c>
      <c r="C218" s="1" t="n">
        <v>46191</v>
      </c>
      <c r="D218" t="inlineStr">
        <is>
          <t>VÄRMLANDS LÄN</t>
        </is>
      </c>
      <c r="E218" t="inlineStr">
        <is>
          <t>GRUMS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48553-2023</t>
        </is>
      </c>
      <c r="B219" s="1" t="n">
        <v>45208</v>
      </c>
      <c r="C219" s="1" t="n">
        <v>46191</v>
      </c>
      <c r="D219" t="inlineStr">
        <is>
          <t>VÄRMLANDS LÄN</t>
        </is>
      </c>
      <c r="E219" t="inlineStr">
        <is>
          <t>GRUMS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62947-2023</t>
        </is>
      </c>
      <c r="B220" s="1" t="n">
        <v>45272</v>
      </c>
      <c r="C220" s="1" t="n">
        <v>46191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17573-2025</t>
        </is>
      </c>
      <c r="B221" s="1" t="n">
        <v>45757</v>
      </c>
      <c r="C221" s="1" t="n">
        <v>46191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7993-2024</t>
        </is>
      </c>
      <c r="B222" s="1" t="n">
        <v>45350</v>
      </c>
      <c r="C222" s="1" t="n">
        <v>46191</v>
      </c>
      <c r="D222" t="inlineStr">
        <is>
          <t>VÄRMLANDS LÄN</t>
        </is>
      </c>
      <c r="E222" t="inlineStr">
        <is>
          <t>GRUMS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44048-2023</t>
        </is>
      </c>
      <c r="B223" s="1" t="n">
        <v>45188</v>
      </c>
      <c r="C223" s="1" t="n">
        <v>46191</v>
      </c>
      <c r="D223" t="inlineStr">
        <is>
          <t>VÄRMLANDS LÄN</t>
        </is>
      </c>
      <c r="E223" t="inlineStr">
        <is>
          <t>GRUMS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30914-2023</t>
        </is>
      </c>
      <c r="B224" s="1" t="n">
        <v>45113</v>
      </c>
      <c r="C224" s="1" t="n">
        <v>46191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33081-2022</t>
        </is>
      </c>
      <c r="B225" s="1" t="n">
        <v>44785</v>
      </c>
      <c r="C225" s="1" t="n">
        <v>46191</v>
      </c>
      <c r="D225" t="inlineStr">
        <is>
          <t>VÄRMLANDS LÄN</t>
        </is>
      </c>
      <c r="E225" t="inlineStr">
        <is>
          <t>GRUMS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21233-2026</t>
        </is>
      </c>
      <c r="B226" s="1" t="n">
        <v>46147</v>
      </c>
      <c r="C226" s="1" t="n">
        <v>46191</v>
      </c>
      <c r="D226" t="inlineStr">
        <is>
          <t>VÄRMLANDS LÄN</t>
        </is>
      </c>
      <c r="E226" t="inlineStr">
        <is>
          <t>GRUMS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8370-2023</t>
        </is>
      </c>
      <c r="B227" s="1" t="n">
        <v>44977</v>
      </c>
      <c r="C227" s="1" t="n">
        <v>46191</v>
      </c>
      <c r="D227" t="inlineStr">
        <is>
          <t>VÄRMLANDS LÄN</t>
        </is>
      </c>
      <c r="E227" t="inlineStr">
        <is>
          <t>GRUMS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12217-2025</t>
        </is>
      </c>
      <c r="B228" s="1" t="n">
        <v>45729</v>
      </c>
      <c r="C228" s="1" t="n">
        <v>46191</v>
      </c>
      <c r="D228" t="inlineStr">
        <is>
          <t>VÄRMLANDS LÄN</t>
        </is>
      </c>
      <c r="E228" t="inlineStr">
        <is>
          <t>GRUMS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29762-2023</t>
        </is>
      </c>
      <c r="B229" s="1" t="n">
        <v>45107</v>
      </c>
      <c r="C229" s="1" t="n">
        <v>46191</v>
      </c>
      <c r="D229" t="inlineStr">
        <is>
          <t>VÄRMLANDS LÄN</t>
        </is>
      </c>
      <c r="E229" t="inlineStr">
        <is>
          <t>GRUMS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22133-2025</t>
        </is>
      </c>
      <c r="B230" s="1" t="n">
        <v>45785</v>
      </c>
      <c r="C230" s="1" t="n">
        <v>46191</v>
      </c>
      <c r="D230" t="inlineStr">
        <is>
          <t>VÄRMLANDS LÄN</t>
        </is>
      </c>
      <c r="E230" t="inlineStr">
        <is>
          <t>GRUMS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22537-2025</t>
        </is>
      </c>
      <c r="B231" s="1" t="n">
        <v>45787</v>
      </c>
      <c r="C231" s="1" t="n">
        <v>46191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29736-2023</t>
        </is>
      </c>
      <c r="B232" s="1" t="n">
        <v>45107</v>
      </c>
      <c r="C232" s="1" t="n">
        <v>46191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19052-2024</t>
        </is>
      </c>
      <c r="B233" s="1" t="n">
        <v>45427</v>
      </c>
      <c r="C233" s="1" t="n">
        <v>46191</v>
      </c>
      <c r="D233" t="inlineStr">
        <is>
          <t>VÄRMLANDS LÄN</t>
        </is>
      </c>
      <c r="E233" t="inlineStr">
        <is>
          <t>GRUMS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50640-2023</t>
        </is>
      </c>
      <c r="B234" s="1" t="n">
        <v>45217</v>
      </c>
      <c r="C234" s="1" t="n">
        <v>46191</v>
      </c>
      <c r="D234" t="inlineStr">
        <is>
          <t>VÄRMLANDS LÄN</t>
        </is>
      </c>
      <c r="E234" t="inlineStr">
        <is>
          <t>GRUMS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17910-2024</t>
        </is>
      </c>
      <c r="B235" s="1" t="n">
        <v>45419</v>
      </c>
      <c r="C235" s="1" t="n">
        <v>46191</v>
      </c>
      <c r="D235" t="inlineStr">
        <is>
          <t>VÄRMLANDS LÄN</t>
        </is>
      </c>
      <c r="E235" t="inlineStr">
        <is>
          <t>GRUMS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8361-2025</t>
        </is>
      </c>
      <c r="B236" s="1" t="n">
        <v>45708</v>
      </c>
      <c r="C236" s="1" t="n">
        <v>46191</v>
      </c>
      <c r="D236" t="inlineStr">
        <is>
          <t>VÄRMLANDS LÄN</t>
        </is>
      </c>
      <c r="E236" t="inlineStr">
        <is>
          <t>GRUMS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13289-2025</t>
        </is>
      </c>
      <c r="B237" s="1" t="n">
        <v>45735</v>
      </c>
      <c r="C237" s="1" t="n">
        <v>46191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31964-2023</t>
        </is>
      </c>
      <c r="B238" s="1" t="n">
        <v>45107</v>
      </c>
      <c r="C238" s="1" t="n">
        <v>46191</v>
      </c>
      <c r="D238" t="inlineStr">
        <is>
          <t>VÄRMLANDS LÄN</t>
        </is>
      </c>
      <c r="E238" t="inlineStr">
        <is>
          <t>GRUMS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35253-2022</t>
        </is>
      </c>
      <c r="B239" s="1" t="n">
        <v>44797</v>
      </c>
      <c r="C239" s="1" t="n">
        <v>46191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29426-2022</t>
        </is>
      </c>
      <c r="B240" s="1" t="n">
        <v>44753</v>
      </c>
      <c r="C240" s="1" t="n">
        <v>46191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14.4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46191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6751-2025</t>
        </is>
      </c>
      <c r="B242" s="1" t="n">
        <v>45700</v>
      </c>
      <c r="C242" s="1" t="n">
        <v>46191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975-2025</t>
        </is>
      </c>
      <c r="B243" s="1" t="n">
        <v>45665</v>
      </c>
      <c r="C243" s="1" t="n">
        <v>46191</v>
      </c>
      <c r="D243" t="inlineStr">
        <is>
          <t>VÄRMLANDS LÄN</t>
        </is>
      </c>
      <c r="E243" t="inlineStr">
        <is>
          <t>GRUMS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63919-2021</t>
        </is>
      </c>
      <c r="B244" s="1" t="n">
        <v>44509</v>
      </c>
      <c r="C244" s="1" t="n">
        <v>46191</v>
      </c>
      <c r="D244" t="inlineStr">
        <is>
          <t>VÄRMLANDS LÄN</t>
        </is>
      </c>
      <c r="E244" t="inlineStr">
        <is>
          <t>GRUMS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27218-2023</t>
        </is>
      </c>
      <c r="B245" s="1" t="n">
        <v>45096</v>
      </c>
      <c r="C245" s="1" t="n">
        <v>46191</v>
      </c>
      <c r="D245" t="inlineStr">
        <is>
          <t>VÄRMLANDS LÄN</t>
        </is>
      </c>
      <c r="E245" t="inlineStr">
        <is>
          <t>GRUMS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36420-2023</t>
        </is>
      </c>
      <c r="B246" s="1" t="n">
        <v>45152</v>
      </c>
      <c r="C246" s="1" t="n">
        <v>46191</v>
      </c>
      <c r="D246" t="inlineStr">
        <is>
          <t>VÄRMLANDS LÄN</t>
        </is>
      </c>
      <c r="E246" t="inlineStr">
        <is>
          <t>GRUMS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9144-2024</t>
        </is>
      </c>
      <c r="B247" s="1" t="n">
        <v>45358</v>
      </c>
      <c r="C247" s="1" t="n">
        <v>46191</v>
      </c>
      <c r="D247" t="inlineStr">
        <is>
          <t>VÄRMLANDS LÄN</t>
        </is>
      </c>
      <c r="E247" t="inlineStr">
        <is>
          <t>GRUMS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17399-2025</t>
        </is>
      </c>
      <c r="B248" s="1" t="n">
        <v>45757</v>
      </c>
      <c r="C248" s="1" t="n">
        <v>46191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29260-2025</t>
        </is>
      </c>
      <c r="B249" s="1" t="n">
        <v>45824</v>
      </c>
      <c r="C249" s="1" t="n">
        <v>46191</v>
      </c>
      <c r="D249" t="inlineStr">
        <is>
          <t>VÄRMLANDS LÄN</t>
        </is>
      </c>
      <c r="E249" t="inlineStr">
        <is>
          <t>GRUMS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6713-2025</t>
        </is>
      </c>
      <c r="B250" s="1" t="n">
        <v>45700</v>
      </c>
      <c r="C250" s="1" t="n">
        <v>46191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30563-2025</t>
        </is>
      </c>
      <c r="B251" s="1" t="n">
        <v>45831</v>
      </c>
      <c r="C251" s="1" t="n">
        <v>46191</v>
      </c>
      <c r="D251" t="inlineStr">
        <is>
          <t>VÄRMLANDS LÄN</t>
        </is>
      </c>
      <c r="E251" t="inlineStr">
        <is>
          <t>GRUMS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33948-2023</t>
        </is>
      </c>
      <c r="B252" s="1" t="n">
        <v>45124</v>
      </c>
      <c r="C252" s="1" t="n">
        <v>46191</v>
      </c>
      <c r="D252" t="inlineStr">
        <is>
          <t>VÄRMLANDS LÄN</t>
        </is>
      </c>
      <c r="E252" t="inlineStr">
        <is>
          <t>GRUMS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27222-2023</t>
        </is>
      </c>
      <c r="B253" s="1" t="n">
        <v>45096</v>
      </c>
      <c r="C253" s="1" t="n">
        <v>46191</v>
      </c>
      <c r="D253" t="inlineStr">
        <is>
          <t>VÄRMLANDS LÄN</t>
        </is>
      </c>
      <c r="E253" t="inlineStr">
        <is>
          <t>GRUMS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32327-2025</t>
        </is>
      </c>
      <c r="B254" s="1" t="n">
        <v>45836</v>
      </c>
      <c r="C254" s="1" t="n">
        <v>46191</v>
      </c>
      <c r="D254" t="inlineStr">
        <is>
          <t>VÄRMLANDS LÄN</t>
        </is>
      </c>
      <c r="E254" t="inlineStr">
        <is>
          <t>GRUMS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17972-2025</t>
        </is>
      </c>
      <c r="B255" s="1" t="n">
        <v>45761</v>
      </c>
      <c r="C255" s="1" t="n">
        <v>46191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62896-2023</t>
        </is>
      </c>
      <c r="B256" s="1" t="n">
        <v>45272</v>
      </c>
      <c r="C256" s="1" t="n">
        <v>46191</v>
      </c>
      <c r="D256" t="inlineStr">
        <is>
          <t>VÄRMLANDS LÄN</t>
        </is>
      </c>
      <c r="E256" t="inlineStr">
        <is>
          <t>GRUMS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6938-2024</t>
        </is>
      </c>
      <c r="B257" s="1" t="n">
        <v>45343</v>
      </c>
      <c r="C257" s="1" t="n">
        <v>46191</v>
      </c>
      <c r="D257" t="inlineStr">
        <is>
          <t>VÄRMLANDS LÄN</t>
        </is>
      </c>
      <c r="E257" t="inlineStr">
        <is>
          <t>GRUMS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26829-2023</t>
        </is>
      </c>
      <c r="B258" s="1" t="n">
        <v>45093</v>
      </c>
      <c r="C258" s="1" t="n">
        <v>46191</v>
      </c>
      <c r="D258" t="inlineStr">
        <is>
          <t>VÄRMLANDS LÄN</t>
        </is>
      </c>
      <c r="E258" t="inlineStr">
        <is>
          <t>GRUMS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13895-2024</t>
        </is>
      </c>
      <c r="B259" s="1" t="n">
        <v>45391</v>
      </c>
      <c r="C259" s="1" t="n">
        <v>46191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26815-2023</t>
        </is>
      </c>
      <c r="B260" s="1" t="n">
        <v>45093</v>
      </c>
      <c r="C260" s="1" t="n">
        <v>46191</v>
      </c>
      <c r="D260" t="inlineStr">
        <is>
          <t>VÄRMLANDS LÄN</t>
        </is>
      </c>
      <c r="E260" t="inlineStr">
        <is>
          <t>GRUMS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8359-2025</t>
        </is>
      </c>
      <c r="B261" s="1" t="n">
        <v>45708</v>
      </c>
      <c r="C261" s="1" t="n">
        <v>46191</v>
      </c>
      <c r="D261" t="inlineStr">
        <is>
          <t>VÄRMLANDS LÄN</t>
        </is>
      </c>
      <c r="E261" t="inlineStr">
        <is>
          <t>GRUMS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17565-2025</t>
        </is>
      </c>
      <c r="B262" s="1" t="n">
        <v>45757</v>
      </c>
      <c r="C262" s="1" t="n">
        <v>46191</v>
      </c>
      <c r="D262" t="inlineStr">
        <is>
          <t>VÄRMLANDS LÄN</t>
        </is>
      </c>
      <c r="E262" t="inlineStr">
        <is>
          <t>GRUMS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25443-2023</t>
        </is>
      </c>
      <c r="B263" s="1" t="n">
        <v>45089</v>
      </c>
      <c r="C263" s="1" t="n">
        <v>46191</v>
      </c>
      <c r="D263" t="inlineStr">
        <is>
          <t>VÄRMLANDS LÄN</t>
        </is>
      </c>
      <c r="E263" t="inlineStr">
        <is>
          <t>GRUMS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35425-2025</t>
        </is>
      </c>
      <c r="B264" s="1" t="n">
        <v>45855</v>
      </c>
      <c r="C264" s="1" t="n">
        <v>46191</v>
      </c>
      <c r="D264" t="inlineStr">
        <is>
          <t>VÄRMLANDS LÄN</t>
        </is>
      </c>
      <c r="E264" t="inlineStr">
        <is>
          <t>GRUMS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14306-2023</t>
        </is>
      </c>
      <c r="B265" s="1" t="n">
        <v>45011</v>
      </c>
      <c r="C265" s="1" t="n">
        <v>46191</v>
      </c>
      <c r="D265" t="inlineStr">
        <is>
          <t>VÄRMLANDS LÄN</t>
        </is>
      </c>
      <c r="E265" t="inlineStr">
        <is>
          <t>GRUMS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5025-2023</t>
        </is>
      </c>
      <c r="B266" s="1" t="n">
        <v>44958</v>
      </c>
      <c r="C266" s="1" t="n">
        <v>46191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31974-2023</t>
        </is>
      </c>
      <c r="B267" s="1" t="n">
        <v>45107</v>
      </c>
      <c r="C267" s="1" t="n">
        <v>46191</v>
      </c>
      <c r="D267" t="inlineStr">
        <is>
          <t>VÄRMLANDS LÄN</t>
        </is>
      </c>
      <c r="E267" t="inlineStr">
        <is>
          <t>GRUMS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5957-2024</t>
        </is>
      </c>
      <c r="B268" s="1" t="n">
        <v>45336</v>
      </c>
      <c r="C268" s="1" t="n">
        <v>46191</v>
      </c>
      <c r="D268" t="inlineStr">
        <is>
          <t>VÄRMLANDS LÄN</t>
        </is>
      </c>
      <c r="E268" t="inlineStr">
        <is>
          <t>GRUMS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2253-2024</t>
        </is>
      </c>
      <c r="B269" s="1" t="n">
        <v>45310</v>
      </c>
      <c r="C269" s="1" t="n">
        <v>46191</v>
      </c>
      <c r="D269" t="inlineStr">
        <is>
          <t>VÄRMLANDS LÄN</t>
        </is>
      </c>
      <c r="E269" t="inlineStr">
        <is>
          <t>GRUMS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4870-2024</t>
        </is>
      </c>
      <c r="B270" s="1" t="n">
        <v>45329</v>
      </c>
      <c r="C270" s="1" t="n">
        <v>46191</v>
      </c>
      <c r="D270" t="inlineStr">
        <is>
          <t>VÄRMLANDS LÄN</t>
        </is>
      </c>
      <c r="E270" t="inlineStr">
        <is>
          <t>GRUMS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69847-2021</t>
        </is>
      </c>
      <c r="B271" s="1" t="n">
        <v>44532</v>
      </c>
      <c r="C271" s="1" t="n">
        <v>46191</v>
      </c>
      <c r="D271" t="inlineStr">
        <is>
          <t>VÄRMLANDS LÄN</t>
        </is>
      </c>
      <c r="E271" t="inlineStr">
        <is>
          <t>GRUMS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46191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37517-2025</t>
        </is>
      </c>
      <c r="B273" s="1" t="n">
        <v>45877</v>
      </c>
      <c r="C273" s="1" t="n">
        <v>46191</v>
      </c>
      <c r="D273" t="inlineStr">
        <is>
          <t>VÄRMLANDS LÄN</t>
        </is>
      </c>
      <c r="E273" t="inlineStr">
        <is>
          <t>GRUMS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37515-2025</t>
        </is>
      </c>
      <c r="B274" s="1" t="n">
        <v>45877</v>
      </c>
      <c r="C274" s="1" t="n">
        <v>46191</v>
      </c>
      <c r="D274" t="inlineStr">
        <is>
          <t>VÄRMLANDS LÄN</t>
        </is>
      </c>
      <c r="E274" t="inlineStr">
        <is>
          <t>GRUMS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37495-2025</t>
        </is>
      </c>
      <c r="B275" s="1" t="n">
        <v>45877</v>
      </c>
      <c r="C275" s="1" t="n">
        <v>46191</v>
      </c>
      <c r="D275" t="inlineStr">
        <is>
          <t>VÄRMLANDS LÄN</t>
        </is>
      </c>
      <c r="E275" t="inlineStr">
        <is>
          <t>GRUMS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71706-2021</t>
        </is>
      </c>
      <c r="B276" s="1" t="n">
        <v>44543</v>
      </c>
      <c r="C276" s="1" t="n">
        <v>46191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38002-2025</t>
        </is>
      </c>
      <c r="B277" s="1" t="n">
        <v>45881</v>
      </c>
      <c r="C277" s="1" t="n">
        <v>46191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39145-2021</t>
        </is>
      </c>
      <c r="B278" s="1" t="n">
        <v>44412</v>
      </c>
      <c r="C278" s="1" t="n">
        <v>46191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47152-2023</t>
        </is>
      </c>
      <c r="B279" s="1" t="n">
        <v>45201</v>
      </c>
      <c r="C279" s="1" t="n">
        <v>46191</v>
      </c>
      <c r="D279" t="inlineStr">
        <is>
          <t>VÄRMLANDS LÄN</t>
        </is>
      </c>
      <c r="E279" t="inlineStr">
        <is>
          <t>GRUMS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2026-06-18T13:19:39Z</dcterms:created>
  <dcterms:modified xmlns:dcterms="http://purl.org/dc/terms/" xmlns:xsi="http://www.w3.org/2001/XMLSchema-instance" xsi:type="dcterms:W3CDTF">2026-06-18T13:19:39Z</dcterms:modified>
</cp:coreProperties>
</file>