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46257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46257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46257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46257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46257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46257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46257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46257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23860-2023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46257</v>
      </c>
      <c r="F18" t="inlineStr">
        <is>
          <t>VÄRMLANDS LÄN</t>
        </is>
      </c>
      <c r="G18" t="inlineStr">
        <is>
          <t>GRUMS</t>
        </is>
      </c>
      <c r="I18" t="n">
        <v>3.5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Gullpudra
Gulsparv</t>
        </is>
      </c>
      <c r="W18">
        <f>HYPERLINK("https://klasma.github.io/Logging_1764/artfynd/A 23860-2023 artfynd.xlsx", "A 23860-2023")</f>
        <v/>
      </c>
      <c r="X18">
        <f>HYPERLINK("https://klasma.github.io/Logging_1764/kartor/A 23860-2023 karta.png", "A 23860-2023")</f>
        <v/>
      </c>
      <c r="Y18">
        <f>HYPERLINK("https://klasma.github.io/Logging_1764/kartor_geotiff/A 23860-2023 georefererad karta.tif", "A 23860-2023")</f>
        <v/>
      </c>
      <c r="AA18">
        <f>HYPERLINK("https://klasma.github.io/Logging_1764/klagomål/A 23860-2023 FSC-klagomål.docx", "A 23860-2023")</f>
        <v/>
      </c>
      <c r="AB18">
        <f>HYPERLINK("https://klasma.github.io/Logging_1764/klagomålsmail/A 23860-2023 FSC-klagomål mail.docx", "A 23860-2023")</f>
        <v/>
      </c>
      <c r="AC18">
        <f>HYPERLINK("https://klasma.github.io/Logging_1764/tillsyn/A 23860-2023 tillsynsbegäran.docx", "A 23860-2023")</f>
        <v/>
      </c>
      <c r="AD18">
        <f>HYPERLINK("https://klasma.github.io/Logging_1764/tillsynsmail/A 23860-2023 tillsynsbegäran mail.docx", "A 23860-2023")</f>
        <v/>
      </c>
      <c r="AE18">
        <f>HYPERLINK("https://klasma.github.io/Logging_1764/fåglar/A 23860-2023 prioriterade fågelarter.docx", "A 23860-2023")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46257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46257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46257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46257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46257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46257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46257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46257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13121-2023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45002</v>
      </c>
      <c r="E28" s="1" t="n">
        <v>46257</v>
      </c>
      <c r="F28" t="inlineStr">
        <is>
          <t>VÄRMLANDS LÄN</t>
        </is>
      </c>
      <c r="G28" t="inlineStr">
        <is>
          <t>GRUMS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HYPERLINK("https://klasma.github.io/Logging_1764/artfynd/A 13121-2023 artfynd.xlsx", "A 13121-2023")</f>
        <v/>
      </c>
      <c r="X28">
        <f>HYPERLINK("https://klasma.github.io/Logging_1764/kartor/A 13121-2023 karta.png", "A 13121-2023")</f>
        <v/>
      </c>
      <c r="Y28">
        <f>HYPERLINK("https://klasma.github.io/Logging_1764/kartor_geotiff/A 13121-2023 georefererad karta.tif", "A 13121-2023")</f>
        <v/>
      </c>
      <c r="AA28">
        <f>HYPERLINK("https://klasma.github.io/Logging_1764/klagomål/A 13121-2023 FSC-klagomål.docx", "A 13121-2023")</f>
        <v/>
      </c>
      <c r="AB28">
        <f>HYPERLINK("https://klasma.github.io/Logging_1764/klagomålsmail/A 13121-2023 FSC-klagomål mail.docx", "A 13121-2023")</f>
        <v/>
      </c>
      <c r="AC28">
        <f>HYPERLINK("https://klasma.github.io/Logging_1764/tillsyn/A 13121-2023 tillsynsbegäran.docx", "A 13121-2023")</f>
        <v/>
      </c>
      <c r="AD28">
        <f>HYPERLINK("https://klasma.github.io/Logging_1764/tillsynsmail/A 13121-2023 tillsynsbegäran mail.docx", "A 13121-2023")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46257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46257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46257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46257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46257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46257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46257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46257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46257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46257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46257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46257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46257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46257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43244-2021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44432</v>
      </c>
      <c r="E43" s="1" t="n">
        <v>46257</v>
      </c>
      <c r="F43" t="inlineStr">
        <is>
          <t>VÄRMLANDS LÄN</t>
        </is>
      </c>
      <c r="G43" t="inlineStr">
        <is>
          <t>GRUMS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46257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46257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46257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46257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46257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46257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46257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46257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46257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46257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46257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46257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46257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46257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46257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46257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46257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46257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46257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46257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46257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46257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46257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46257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46257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46257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46257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46257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46257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46257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44577</v>
      </c>
      <c r="E74" s="1" t="n">
        <v>46257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51203-2021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46257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44785</v>
      </c>
      <c r="E76" s="1" t="n">
        <v>46257</v>
      </c>
      <c r="F76" t="inlineStr">
        <is>
          <t>VÄRMLANDS LÄN</t>
        </is>
      </c>
      <c r="G76" t="inlineStr">
        <is>
          <t>GRUMS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46257</v>
      </c>
      <c r="F77" t="inlineStr">
        <is>
          <t>VÄRMLANDS LÄN</t>
        </is>
      </c>
      <c r="G77" t="inlineStr">
        <is>
          <t>GRUMS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46257</v>
      </c>
      <c r="F78" t="inlineStr">
        <is>
          <t>VÄRMLANDS LÄN</t>
        </is>
      </c>
      <c r="G78" t="inlineStr">
        <is>
          <t>GRUMS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45159</v>
      </c>
      <c r="E79" s="1" t="n">
        <v>46257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46257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46257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46257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46257</v>
      </c>
      <c r="F83" t="inlineStr">
        <is>
          <t>VÄRMLANDS LÄN</t>
        </is>
      </c>
      <c r="G83" t="inlineStr">
        <is>
          <t>GRUMS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46257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46257</v>
      </c>
      <c r="F85" t="inlineStr">
        <is>
          <t>VÄRMLANDS LÄN</t>
        </is>
      </c>
      <c r="G85" t="inlineStr">
        <is>
          <t>GRUMS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46257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46257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46257</v>
      </c>
      <c r="F88" t="inlineStr">
        <is>
          <t>VÄRMLANDS LÄN</t>
        </is>
      </c>
      <c r="G88" t="inlineStr">
        <is>
          <t>GRUMS</t>
        </is>
      </c>
      <c r="I88" t="n">
        <v>13.7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46257</v>
      </c>
      <c r="F89" t="inlineStr">
        <is>
          <t>VÄRMLANDS LÄN</t>
        </is>
      </c>
      <c r="G89" t="inlineStr">
        <is>
          <t>GRUMS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46257</v>
      </c>
      <c r="F90" t="inlineStr">
        <is>
          <t>VÄRMLANDS LÄN</t>
        </is>
      </c>
      <c r="G90" t="inlineStr">
        <is>
          <t>GRUMS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46257</v>
      </c>
      <c r="F91" t="inlineStr">
        <is>
          <t>VÄRMLANDS LÄN</t>
        </is>
      </c>
      <c r="G91" t="inlineStr">
        <is>
          <t>GRUMS</t>
        </is>
      </c>
      <c r="I91" t="n">
        <v>14.3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46257</v>
      </c>
      <c r="F92" t="inlineStr">
        <is>
          <t>VÄRMLANDS LÄN</t>
        </is>
      </c>
      <c r="G92" t="inlineStr">
        <is>
          <t>GRUMS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44958</v>
      </c>
      <c r="E93" s="1" t="n">
        <v>46257</v>
      </c>
      <c r="F93" t="inlineStr">
        <is>
          <t>VÄRMLANDS LÄN</t>
        </is>
      </c>
      <c r="G93" t="inlineStr">
        <is>
          <t>GRUMS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73901-2021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44552</v>
      </c>
      <c r="E94" s="1" t="n">
        <v>46257</v>
      </c>
      <c r="F94" t="inlineStr">
        <is>
          <t>VÄRMLANDS LÄN</t>
        </is>
      </c>
      <c r="G94" t="inlineStr">
        <is>
          <t>GRUMS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46257</v>
      </c>
      <c r="F95" t="inlineStr">
        <is>
          <t>VÄRMLANDS LÄN</t>
        </is>
      </c>
      <c r="G95" t="inlineStr">
        <is>
          <t>GRUMS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46257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46257</v>
      </c>
      <c r="F97" t="inlineStr">
        <is>
          <t>VÄRMLANDS LÄN</t>
        </is>
      </c>
      <c r="G97" t="inlineStr">
        <is>
          <t>GRUMS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73033-2021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46257</v>
      </c>
      <c r="F98" t="inlineStr">
        <is>
          <t>VÄRMLANDS LÄN</t>
        </is>
      </c>
      <c r="G98" t="inlineStr">
        <is>
          <t>GRUMS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45387</v>
      </c>
      <c r="E99" s="1" t="n">
        <v>46257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46257</v>
      </c>
      <c r="F100" t="inlineStr">
        <is>
          <t>VÄRMLANDS LÄN</t>
        </is>
      </c>
      <c r="G100" t="inlineStr">
        <is>
          <t>GRUMS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46257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31362-2024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45505</v>
      </c>
      <c r="E102" s="1" t="n">
        <v>46257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45245</v>
      </c>
      <c r="E103" s="1" t="n">
        <v>46257</v>
      </c>
      <c r="F103" t="inlineStr">
        <is>
          <t>VÄRMLANDS LÄN</t>
        </is>
      </c>
      <c r="G103" t="inlineStr">
        <is>
          <t>GRUMS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46257</v>
      </c>
      <c r="F104" t="inlineStr">
        <is>
          <t>VÄRMLANDS LÄN</t>
        </is>
      </c>
      <c r="G104" t="inlineStr">
        <is>
          <t>GRUMS</t>
        </is>
      </c>
      <c r="I104" t="n">
        <v>18.2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46257</v>
      </c>
      <c r="F105" t="inlineStr">
        <is>
          <t>VÄRMLANDS LÄN</t>
        </is>
      </c>
      <c r="G105" t="inlineStr">
        <is>
          <t>GRUMS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46257</v>
      </c>
      <c r="F106" t="inlineStr">
        <is>
          <t>VÄRMLANDS LÄN</t>
        </is>
      </c>
      <c r="G106" t="inlineStr">
        <is>
          <t>GRUMS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46257</v>
      </c>
      <c r="F107" t="inlineStr">
        <is>
          <t>VÄRMLANDS LÄN</t>
        </is>
      </c>
      <c r="G107" t="inlineStr">
        <is>
          <t>GRUMS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46257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46257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46257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46257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46257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17081-2024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46257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46257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46257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46257</v>
      </c>
      <c r="F116" t="inlineStr">
        <is>
          <t>VÄRMLANDS LÄN</t>
        </is>
      </c>
      <c r="G116" t="inlineStr">
        <is>
          <t>GRUMS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46257</v>
      </c>
      <c r="F117" t="inlineStr">
        <is>
          <t>VÄRMLANDS LÄN</t>
        </is>
      </c>
      <c r="G117" t="inlineStr">
        <is>
          <t>GRUMS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46257</v>
      </c>
      <c r="F118" t="inlineStr">
        <is>
          <t>VÄRMLANDS LÄN</t>
        </is>
      </c>
      <c r="G118" t="inlineStr">
        <is>
          <t>GRUMS</t>
        </is>
      </c>
      <c r="I118" t="n">
        <v>22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46257</v>
      </c>
      <c r="F119" t="inlineStr">
        <is>
          <t>VÄRMLANDS LÄN</t>
        </is>
      </c>
      <c r="G119" t="inlineStr">
        <is>
          <t>GRUMS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46257</v>
      </c>
      <c r="F120" t="inlineStr">
        <is>
          <t>VÄRMLANDS LÄN</t>
        </is>
      </c>
      <c r="G120" t="inlineStr">
        <is>
          <t>GRUMS</t>
        </is>
      </c>
      <c r="I120" t="n">
        <v>11.6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46257</v>
      </c>
      <c r="F121" t="inlineStr">
        <is>
          <t>VÄRMLANDS LÄN</t>
        </is>
      </c>
      <c r="G121" t="inlineStr">
        <is>
          <t>GRUMS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46257</v>
      </c>
      <c r="F122" t="inlineStr">
        <is>
          <t>VÄRMLANDS LÄN</t>
        </is>
      </c>
      <c r="G122" t="inlineStr">
        <is>
          <t>GRUMS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46257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45271</v>
      </c>
      <c r="E124" s="1" t="n">
        <v>46257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46257</v>
      </c>
      <c r="F125" t="inlineStr">
        <is>
          <t>VÄRMLANDS LÄN</t>
        </is>
      </c>
      <c r="G125" t="inlineStr">
        <is>
          <t>GRUMS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46257</v>
      </c>
      <c r="F126" t="inlineStr">
        <is>
          <t>VÄRMLANDS LÄN</t>
        </is>
      </c>
      <c r="G126" t="inlineStr">
        <is>
          <t>GRUMS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45836</v>
      </c>
      <c r="E127" s="1" t="n">
        <v>46257</v>
      </c>
      <c r="F127" t="inlineStr">
        <is>
          <t>VÄRMLANDS LÄN</t>
        </is>
      </c>
      <c r="G127" t="inlineStr">
        <is>
          <t>GRUMS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46257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46257</v>
      </c>
      <c r="F129" t="inlineStr">
        <is>
          <t>VÄRMLANDS LÄN</t>
        </is>
      </c>
      <c r="G129" t="inlineStr">
        <is>
          <t>GRUMS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46257</v>
      </c>
      <c r="F130" t="inlineStr">
        <is>
          <t>VÄRMLANDS LÄN</t>
        </is>
      </c>
      <c r="G130" t="inlineStr">
        <is>
          <t>GRUMS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46257</v>
      </c>
      <c r="F131" t="inlineStr">
        <is>
          <t>VÄRMLANDS LÄN</t>
        </is>
      </c>
      <c r="G131" t="inlineStr">
        <is>
          <t>GRUMS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45510</v>
      </c>
      <c r="E132" s="1" t="n">
        <v>46257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46257</v>
      </c>
      <c r="F133" t="inlineStr">
        <is>
          <t>VÄRMLANDS LÄN</t>
        </is>
      </c>
      <c r="G133" t="inlineStr">
        <is>
          <t>GRUMS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71706-2021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46257</v>
      </c>
      <c r="F134" t="inlineStr">
        <is>
          <t>VÄRMLANDS LÄN</t>
        </is>
      </c>
      <c r="G134" t="inlineStr">
        <is>
          <t>GRUMS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46257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40935-2022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44823</v>
      </c>
      <c r="E136" s="1" t="n">
        <v>46257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46257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46257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45343</v>
      </c>
      <c r="E139" s="1" t="n">
        <v>46257</v>
      </c>
      <c r="F139" t="inlineStr">
        <is>
          <t>VÄRMLANDS LÄN</t>
        </is>
      </c>
      <c r="G139" t="inlineStr">
        <is>
          <t>GRUMS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46257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46257</v>
      </c>
      <c r="F141" t="inlineStr">
        <is>
          <t>VÄRMLANDS LÄN</t>
        </is>
      </c>
      <c r="G141" t="inlineStr">
        <is>
          <t>GRUMS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46257</v>
      </c>
      <c r="F142" t="inlineStr">
        <is>
          <t>VÄRMLANDS LÄN</t>
        </is>
      </c>
      <c r="G142" t="inlineStr">
        <is>
          <t>GRUMS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46257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46257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46257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46257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44760</v>
      </c>
      <c r="E147" s="1" t="n">
        <v>46257</v>
      </c>
      <c r="F147" t="inlineStr">
        <is>
          <t>VÄRMLANDS LÄN</t>
        </is>
      </c>
      <c r="G147" t="inlineStr">
        <is>
          <t>GRUMS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46257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46257</v>
      </c>
      <c r="F149" t="inlineStr">
        <is>
          <t>VÄRMLANDS LÄN</t>
        </is>
      </c>
      <c r="G149" t="inlineStr">
        <is>
          <t>GRUMS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46257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46257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45441</v>
      </c>
      <c r="E152" s="1" t="n">
        <v>46257</v>
      </c>
      <c r="F152" t="inlineStr">
        <is>
          <t>VÄRMLANDS LÄN</t>
        </is>
      </c>
      <c r="G152" t="inlineStr">
        <is>
          <t>GRUMS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46257</v>
      </c>
      <c r="F153" t="inlineStr">
        <is>
          <t>VÄRMLANDS LÄN</t>
        </is>
      </c>
      <c r="G153" t="inlineStr">
        <is>
          <t>GRUMS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46257</v>
      </c>
      <c r="F154" t="inlineStr">
        <is>
          <t>VÄRMLANDS LÄN</t>
        </is>
      </c>
      <c r="G154" t="inlineStr">
        <is>
          <t>GRUMS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46257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46257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46257</v>
      </c>
      <c r="F157" t="inlineStr">
        <is>
          <t>VÄRMLANDS LÄN</t>
        </is>
      </c>
      <c r="G157" t="inlineStr">
        <is>
          <t>GRUMS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46257</v>
      </c>
      <c r="F158" t="inlineStr">
        <is>
          <t>VÄRMLANDS LÄN</t>
        </is>
      </c>
      <c r="G158" t="inlineStr">
        <is>
          <t>GRUMS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46257</v>
      </c>
      <c r="F159" t="inlineStr">
        <is>
          <t>VÄRMLANDS LÄN</t>
        </is>
      </c>
      <c r="G159" t="inlineStr">
        <is>
          <t>GRUMS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46257</v>
      </c>
      <c r="F160" t="inlineStr">
        <is>
          <t>VÄRMLANDS LÄN</t>
        </is>
      </c>
      <c r="G160" t="inlineStr">
        <is>
          <t>GRUMS</t>
        </is>
      </c>
      <c r="H160" t="inlineStr">
        <is>
          <t>Bergvik skog väst AB</t>
        </is>
      </c>
      <c r="I160" t="n">
        <v>14.4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46257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46257</v>
      </c>
      <c r="F162" t="inlineStr">
        <is>
          <t>VÄRMLANDS LÄN</t>
        </is>
      </c>
      <c r="G162" t="inlineStr">
        <is>
          <t>GRUMS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46257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46257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46257</v>
      </c>
      <c r="F165" t="inlineStr">
        <is>
          <t>VÄRMLANDS LÄN</t>
        </is>
      </c>
      <c r="G165" t="inlineStr">
        <is>
          <t>GRUMS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46257</v>
      </c>
      <c r="F166" t="inlineStr">
        <is>
          <t>VÄRMLANDS LÄN</t>
        </is>
      </c>
      <c r="G166" t="inlineStr">
        <is>
          <t>GRUMS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46257</v>
      </c>
      <c r="F167" t="inlineStr">
        <is>
          <t>VÄRMLANDS LÄN</t>
        </is>
      </c>
      <c r="G167" t="inlineStr">
        <is>
          <t>GRUMS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46257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46257</v>
      </c>
      <c r="F169" t="inlineStr">
        <is>
          <t>VÄRMLANDS LÄN</t>
        </is>
      </c>
      <c r="G169" t="inlineStr">
        <is>
          <t>GRUMS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62905-2023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46257</v>
      </c>
      <c r="F170" t="inlineStr">
        <is>
          <t>VÄRMLANDS LÄN</t>
        </is>
      </c>
      <c r="G170" t="inlineStr">
        <is>
          <t>GRUMS</t>
        </is>
      </c>
      <c r="I170" t="n">
        <v>13.8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46257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46257</v>
      </c>
      <c r="F172" t="inlineStr">
        <is>
          <t>VÄRMLANDS LÄN</t>
        </is>
      </c>
      <c r="G172" t="inlineStr">
        <is>
          <t>GRUMS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46257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45989</v>
      </c>
      <c r="E174" s="1" t="n">
        <v>46257</v>
      </c>
      <c r="F174" t="inlineStr">
        <is>
          <t>VÄRMLANDS LÄN</t>
        </is>
      </c>
      <c r="G174" t="inlineStr">
        <is>
          <t>GRUMS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46257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46257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46257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46257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46257</v>
      </c>
      <c r="F179" t="inlineStr">
        <is>
          <t>VÄRMLANDS LÄN</t>
        </is>
      </c>
      <c r="G179" t="inlineStr">
        <is>
          <t>GRUMS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46257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46257</v>
      </c>
      <c r="F181" t="inlineStr">
        <is>
          <t>VÄRMLANDS LÄN</t>
        </is>
      </c>
      <c r="G181" t="inlineStr">
        <is>
          <t>GRUMS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46039</v>
      </c>
      <c r="E182" s="1" t="n">
        <v>46257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46257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45107</v>
      </c>
      <c r="E184" s="1" t="n">
        <v>46257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46257</v>
      </c>
      <c r="F185" t="inlineStr">
        <is>
          <t>VÄRMLANDS LÄN</t>
        </is>
      </c>
      <c r="G185" t="inlineStr">
        <is>
          <t>GRUMS</t>
        </is>
      </c>
      <c r="H185" t="inlineStr">
        <is>
          <t>Kommuner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46257</v>
      </c>
      <c r="F186" t="inlineStr">
        <is>
          <t>VÄRMLANDS LÄN</t>
        </is>
      </c>
      <c r="G186" t="inlineStr">
        <is>
          <t>GRUMS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46257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46257</v>
      </c>
      <c r="F188" t="inlineStr">
        <is>
          <t>VÄRMLANDS LÄN</t>
        </is>
      </c>
      <c r="G188" t="inlineStr">
        <is>
          <t>GRUMS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46257</v>
      </c>
      <c r="F189" t="inlineStr">
        <is>
          <t>VÄRMLANDS LÄN</t>
        </is>
      </c>
      <c r="G189" t="inlineStr">
        <is>
          <t>GRUMS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46257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46257</v>
      </c>
      <c r="F191" t="inlineStr">
        <is>
          <t>VÄRMLANDS LÄN</t>
        </is>
      </c>
      <c r="G191" t="inlineStr">
        <is>
          <t>GRUMS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45877</v>
      </c>
      <c r="E192" s="1" t="n">
        <v>46257</v>
      </c>
      <c r="F192" t="inlineStr">
        <is>
          <t>VÄRMLANDS LÄN</t>
        </is>
      </c>
      <c r="G192" t="inlineStr">
        <is>
          <t>GRUMS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46257</v>
      </c>
      <c r="F193" t="inlineStr">
        <is>
          <t>VÄRMLANDS LÄN</t>
        </is>
      </c>
      <c r="G193" t="inlineStr">
        <is>
          <t>GRUMS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46257</v>
      </c>
      <c r="F194" t="inlineStr">
        <is>
          <t>VÄRMLANDS LÄN</t>
        </is>
      </c>
      <c r="G194" t="inlineStr">
        <is>
          <t>GRUMS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46214</v>
      </c>
      <c r="E195" s="1" t="n">
        <v>46257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46257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44608</v>
      </c>
      <c r="E197" s="1" t="n">
        <v>46257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46257</v>
      </c>
      <c r="F198" t="inlineStr">
        <is>
          <t>VÄRMLANDS LÄN</t>
        </is>
      </c>
      <c r="G198" t="inlineStr">
        <is>
          <t>GRUMS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46257</v>
      </c>
      <c r="F199" t="inlineStr">
        <is>
          <t>VÄRMLANDS LÄN</t>
        </is>
      </c>
      <c r="G199" t="inlineStr">
        <is>
          <t>GRUMS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46257</v>
      </c>
      <c r="F200" t="inlineStr">
        <is>
          <t>VÄRMLANDS LÄN</t>
        </is>
      </c>
      <c r="G200" t="inlineStr">
        <is>
          <t>GRUMS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45124</v>
      </c>
      <c r="E201" s="1" t="n">
        <v>46257</v>
      </c>
      <c r="F201" t="inlineStr">
        <is>
          <t>VÄRMLANDS LÄN</t>
        </is>
      </c>
      <c r="G201" t="inlineStr">
        <is>
          <t>GRUMS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46257</v>
      </c>
      <c r="F202" t="inlineStr">
        <is>
          <t>VÄRMLANDS LÄN</t>
        </is>
      </c>
      <c r="G202" t="inlineStr">
        <is>
          <t>GRUMS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46257</v>
      </c>
      <c r="F203" t="inlineStr">
        <is>
          <t>VÄRMLANDS LÄN</t>
        </is>
      </c>
      <c r="G203" t="inlineStr">
        <is>
          <t>GRUMS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46257</v>
      </c>
      <c r="F204" t="inlineStr">
        <is>
          <t>VÄRMLANDS LÄN</t>
        </is>
      </c>
      <c r="G204" t="inlineStr">
        <is>
          <t>GRUMS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45461</v>
      </c>
      <c r="E205" s="1" t="n">
        <v>46257</v>
      </c>
      <c r="F205" t="inlineStr">
        <is>
          <t>VÄRMLANDS LÄN</t>
        </is>
      </c>
      <c r="G205" t="inlineStr">
        <is>
          <t>GRUMS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46257</v>
      </c>
      <c r="F206" t="inlineStr">
        <is>
          <t>VÄRMLANDS LÄN</t>
        </is>
      </c>
      <c r="G206" t="inlineStr">
        <is>
          <t>GRUMS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26015-2026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46181</v>
      </c>
      <c r="E207" s="1" t="n">
        <v>46257</v>
      </c>
      <c r="F207" t="inlineStr">
        <is>
          <t>VÄRMLANDS LÄN</t>
        </is>
      </c>
      <c r="G207" t="inlineStr">
        <is>
          <t>GRUMS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46257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46257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46257</v>
      </c>
      <c r="F210" t="inlineStr">
        <is>
          <t>VÄRMLANDS LÄN</t>
        </is>
      </c>
      <c r="G210" t="inlineStr">
        <is>
          <t>GRUMS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46257</v>
      </c>
      <c r="F211" t="inlineStr">
        <is>
          <t>VÄRMLANDS LÄN</t>
        </is>
      </c>
      <c r="G211" t="inlineStr">
        <is>
          <t>GRUMS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46257</v>
      </c>
      <c r="F212" t="inlineStr">
        <is>
          <t>VÄRMLANDS LÄN</t>
        </is>
      </c>
      <c r="G212" t="inlineStr">
        <is>
          <t>GRUMS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46257</v>
      </c>
      <c r="F213" t="inlineStr">
        <is>
          <t>VÄRMLANDS LÄN</t>
        </is>
      </c>
      <c r="G213" t="inlineStr">
        <is>
          <t>GRUMS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46257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46257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45089</v>
      </c>
      <c r="E216" s="1" t="n">
        <v>46257</v>
      </c>
      <c r="F216" t="inlineStr">
        <is>
          <t>VÄRMLANDS LÄN</t>
        </is>
      </c>
      <c r="G216" t="inlineStr">
        <is>
          <t>GRUMS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66056-2021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44517</v>
      </c>
      <c r="E217" s="1" t="n">
        <v>46257</v>
      </c>
      <c r="F217" t="inlineStr">
        <is>
          <t>VÄRMLANDS LÄN</t>
        </is>
      </c>
      <c r="G217" t="inlineStr">
        <is>
          <t>GRUMS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46257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7991-2024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45350</v>
      </c>
      <c r="E219" s="1" t="n">
        <v>46257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14688-2026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46101</v>
      </c>
      <c r="E220" s="1" t="n">
        <v>46257</v>
      </c>
      <c r="F220" t="inlineStr">
        <is>
          <t>VÄRMLANDS LÄN</t>
        </is>
      </c>
      <c r="G220" t="inlineStr">
        <is>
          <t>GRUMS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46257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46257</v>
      </c>
      <c r="F222" t="inlineStr">
        <is>
          <t>VÄRMLANDS LÄN</t>
        </is>
      </c>
      <c r="G222" t="inlineStr">
        <is>
          <t>GRUMS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46257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52848-2021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46257</v>
      </c>
      <c r="F224" t="inlineStr">
        <is>
          <t>VÄRMLANDS LÄN</t>
        </is>
      </c>
      <c r="G224" t="inlineStr">
        <is>
          <t>GRUMS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45708</v>
      </c>
      <c r="E225" s="1" t="n">
        <v>46257</v>
      </c>
      <c r="F225" t="inlineStr">
        <is>
          <t>VÄRMLANDS LÄN</t>
        </is>
      </c>
      <c r="G225" t="inlineStr">
        <is>
          <t>GRUMS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46257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44628</v>
      </c>
      <c r="E227" s="1" t="n">
        <v>46257</v>
      </c>
      <c r="F227" t="inlineStr">
        <is>
          <t>VÄRMLANDS LÄN</t>
        </is>
      </c>
      <c r="G227" t="inlineStr">
        <is>
          <t>GRUMS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46257</v>
      </c>
      <c r="F228" t="inlineStr">
        <is>
          <t>VÄRMLANDS LÄN</t>
        </is>
      </c>
      <c r="G228" t="inlineStr">
        <is>
          <t>GRUMS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46257</v>
      </c>
      <c r="F229" t="inlineStr">
        <is>
          <t>VÄRMLANDS LÄN</t>
        </is>
      </c>
      <c r="G229" t="inlineStr">
        <is>
          <t>GRUMS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46257</v>
      </c>
      <c r="F230" t="inlineStr">
        <is>
          <t>VÄRMLANDS LÄN</t>
        </is>
      </c>
      <c r="G230" t="inlineStr">
        <is>
          <t>GRUMS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73310-2021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44547</v>
      </c>
      <c r="E231" s="1" t="n">
        <v>46257</v>
      </c>
      <c r="F231" t="inlineStr">
        <is>
          <t>VÄRMLANDS LÄN</t>
        </is>
      </c>
      <c r="G231" t="inlineStr">
        <is>
          <t>GRUMS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46257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46257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46257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46257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46257</v>
      </c>
      <c r="F236" t="inlineStr">
        <is>
          <t>VÄRMLANDS LÄN</t>
        </is>
      </c>
      <c r="G236" t="inlineStr">
        <is>
          <t>GRUMS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46257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46257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46257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46024</v>
      </c>
      <c r="E240" s="1" t="n">
        <v>46257</v>
      </c>
      <c r="F240" t="inlineStr">
        <is>
          <t>VÄRMLANDS LÄN</t>
        </is>
      </c>
      <c r="G240" t="inlineStr">
        <is>
          <t>GRUMS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46257</v>
      </c>
      <c r="F241" t="inlineStr">
        <is>
          <t>VÄRMLANDS LÄN</t>
        </is>
      </c>
      <c r="G241" t="inlineStr">
        <is>
          <t>GRUMS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46257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45776</v>
      </c>
      <c r="E243" s="1" t="n">
        <v>46257</v>
      </c>
      <c r="F243" t="inlineStr">
        <is>
          <t>VÄRMLANDS LÄN</t>
        </is>
      </c>
      <c r="G243" t="inlineStr">
        <is>
          <t>GRUMS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46257</v>
      </c>
      <c r="F244" t="inlineStr">
        <is>
          <t>VÄRMLANDS LÄN</t>
        </is>
      </c>
      <c r="G244" t="inlineStr">
        <is>
          <t>GRUMS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46257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46257</v>
      </c>
      <c r="F246" t="inlineStr">
        <is>
          <t>VÄRMLANDS LÄN</t>
        </is>
      </c>
      <c r="G246" t="inlineStr">
        <is>
          <t>GRUMS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46257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44705</v>
      </c>
      <c r="E248" s="1" t="n">
        <v>46257</v>
      </c>
      <c r="F248" t="inlineStr">
        <is>
          <t>VÄRMLANDS LÄN</t>
        </is>
      </c>
      <c r="G248" t="inlineStr">
        <is>
          <t>GRUMS</t>
        </is>
      </c>
      <c r="I248" t="n">
        <v>12.4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46257</v>
      </c>
      <c r="F249" t="inlineStr">
        <is>
          <t>VÄRMLANDS LÄN</t>
        </is>
      </c>
      <c r="G249" t="inlineStr">
        <is>
          <t>GRUMS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46257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46257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46257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46257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46257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46257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46257</v>
      </c>
      <c r="F256" t="inlineStr">
        <is>
          <t>VÄRMLANDS LÄN</t>
        </is>
      </c>
      <c r="G256" t="inlineStr">
        <is>
          <t>GRUMS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46257</v>
      </c>
      <c r="F257" t="inlineStr">
        <is>
          <t>VÄRMLANDS LÄN</t>
        </is>
      </c>
      <c r="G257" t="inlineStr">
        <is>
          <t>GRUMS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46257</v>
      </c>
      <c r="F258" t="inlineStr">
        <is>
          <t>VÄRMLANDS LÄN</t>
        </is>
      </c>
      <c r="G258" t="inlineStr">
        <is>
          <t>GRUMS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46257</v>
      </c>
      <c r="F259" t="inlineStr">
        <is>
          <t>VÄRMLANDS LÄN</t>
        </is>
      </c>
      <c r="G259" t="inlineStr">
        <is>
          <t>GRUMS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46257</v>
      </c>
      <c r="F260" t="inlineStr">
        <is>
          <t>VÄRMLANDS LÄN</t>
        </is>
      </c>
      <c r="G260" t="inlineStr">
        <is>
          <t>GRUMS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45153</v>
      </c>
      <c r="E261" s="1" t="n">
        <v>46257</v>
      </c>
      <c r="F261" t="inlineStr">
        <is>
          <t>VÄRMLANDS LÄN</t>
        </is>
      </c>
      <c r="G261" t="inlineStr">
        <is>
          <t>GRUMS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46257</v>
      </c>
      <c r="F262" t="inlineStr">
        <is>
          <t>VÄRMLANDS LÄN</t>
        </is>
      </c>
      <c r="G262" t="inlineStr">
        <is>
          <t>GRUMS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46257</v>
      </c>
      <c r="F263" t="inlineStr">
        <is>
          <t>VÄRMLANDS LÄN</t>
        </is>
      </c>
      <c r="G263" t="inlineStr">
        <is>
          <t>GRUMS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46257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46257</v>
      </c>
      <c r="F265" t="inlineStr">
        <is>
          <t>VÄRMLANDS LÄN</t>
        </is>
      </c>
      <c r="G265" t="inlineStr">
        <is>
          <t>GRUMS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46257</v>
      </c>
      <c r="F266" t="inlineStr">
        <is>
          <t>VÄRMLANDS LÄN</t>
        </is>
      </c>
      <c r="G266" t="inlineStr">
        <is>
          <t>GRUMS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45484</v>
      </c>
      <c r="E267" s="1" t="n">
        <v>46257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46257</v>
      </c>
      <c r="F268" t="inlineStr">
        <is>
          <t>VÄRMLANDS LÄN</t>
        </is>
      </c>
      <c r="G268" t="inlineStr">
        <is>
          <t>GRUMS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46257</v>
      </c>
      <c r="F269" t="inlineStr">
        <is>
          <t>VÄRMLANDS LÄN</t>
        </is>
      </c>
      <c r="G269" t="inlineStr">
        <is>
          <t>GRUMS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71903-2021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44543</v>
      </c>
      <c r="E270" s="1" t="n">
        <v>46257</v>
      </c>
      <c r="F270" t="inlineStr">
        <is>
          <t>VÄRMLANDS LÄN</t>
        </is>
      </c>
      <c r="G270" t="inlineStr">
        <is>
          <t>GRUMS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46257</v>
      </c>
      <c r="F271" t="inlineStr">
        <is>
          <t>VÄRMLANDS LÄN</t>
        </is>
      </c>
      <c r="G271" t="inlineStr">
        <is>
          <t>GRUMS</t>
        </is>
      </c>
      <c r="H271" t="inlineStr">
        <is>
          <t>BillerudKorsnäs AB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46257</v>
      </c>
      <c r="F272" t="inlineStr">
        <is>
          <t>VÄRMLANDS LÄN</t>
        </is>
      </c>
      <c r="G272" t="inlineStr">
        <is>
          <t>GRUMS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46257</v>
      </c>
      <c r="F273" t="inlineStr">
        <is>
          <t>VÄRMLANDS LÄN</t>
        </is>
      </c>
      <c r="G273" t="inlineStr">
        <is>
          <t>GRUMS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22537-2025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45787</v>
      </c>
      <c r="E274" s="1" t="n">
        <v>46257</v>
      </c>
      <c r="F274" t="inlineStr">
        <is>
          <t>VÄRMLANDS LÄN</t>
        </is>
      </c>
      <c r="G274" t="inlineStr">
        <is>
          <t>GRUMS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2221-2023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45099</v>
      </c>
      <c r="E275" s="1" t="n">
        <v>46257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4473-2023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45272</v>
      </c>
      <c r="E276" s="1" t="n">
        <v>46257</v>
      </c>
      <c r="F276" t="inlineStr">
        <is>
          <t>VÄRMLANDS LÄN</t>
        </is>
      </c>
      <c r="G276" t="inlineStr">
        <is>
          <t>GRUMS</t>
        </is>
      </c>
      <c r="I276" t="n">
        <v>43.7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2137-2025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45846</v>
      </c>
      <c r="E277" s="1" t="n">
        <v>46257</v>
      </c>
      <c r="F277" t="inlineStr">
        <is>
          <t>VÄRMLANDS LÄN</t>
        </is>
      </c>
      <c r="G277" t="inlineStr">
        <is>
          <t>GRUMS</t>
        </is>
      </c>
      <c r="I277" t="n">
        <v>20.2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3158-2025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45973</v>
      </c>
      <c r="E278" s="1" t="n">
        <v>46257</v>
      </c>
      <c r="F278" t="inlineStr">
        <is>
          <t>VÄRMLANDS LÄN</t>
        </is>
      </c>
      <c r="G278" t="inlineStr">
        <is>
          <t>GRUMS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88-2026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46035</v>
      </c>
      <c r="E279" s="1" t="n">
        <v>46257</v>
      </c>
      <c r="F279" t="inlineStr">
        <is>
          <t>VÄRMLANDS LÄN</t>
        </is>
      </c>
      <c r="G279" t="inlineStr">
        <is>
          <t>GRUMS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2026-08-23T01:50:31Z</dcterms:created>
  <dcterms:modified xmlns:dcterms="http://purl.org/dc/terms/" xmlns:xsi="http://www.w3.org/2001/XMLSchema-instance" xsi:type="dcterms:W3CDTF">2026-08-23T01:50:32Z</dcterms:modified>
</cp:coreProperties>
</file>