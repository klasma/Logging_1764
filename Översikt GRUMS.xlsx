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46296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46296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46296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46296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46296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5280-2022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44593</v>
      </c>
      <c r="E13" s="1" t="n">
        <v>46296</v>
      </c>
      <c r="F13" t="inlineStr">
        <is>
          <t>VÄRMLANDS LÄN</t>
        </is>
      </c>
      <c r="G13" t="inlineStr">
        <is>
          <t>GRUMS</t>
        </is>
      </c>
      <c r="H13" t="inlineStr">
        <is>
          <t>Bergvik skog väst AB</t>
        </is>
      </c>
      <c r="I13" t="n">
        <v>37.1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1</v>
      </c>
      <c r="V13" s="2" t="inlineStr">
        <is>
          <t>Ask
Tjäder</t>
        </is>
      </c>
      <c r="W13">
        <f>HYPERLINK("https://klasma.github.io/Logging_1764/artfynd/A 5280-2022 artfynd.xlsx", "A 5280-2022")</f>
        <v/>
      </c>
      <c r="X13">
        <f>HYPERLINK("https://klasma.github.io/Logging_1764/kartor/A 5280-2022 karta.png", "A 5280-2022")</f>
        <v/>
      </c>
      <c r="Y13">
        <f>HYPERLINK("https://klasma.github.io/Logging_1764/kartor_geotiff/A 5280-2022 georefererad karta.tif", "A 5280-2022")</f>
        <v/>
      </c>
      <c r="AA13">
        <f>HYPERLINK("https://klasma.github.io/Logging_1764/klagomål/A 5280-2022 FSC-klagomål.docx", "A 5280-2022")</f>
        <v/>
      </c>
      <c r="AB13">
        <f>HYPERLINK("https://klasma.github.io/Logging_1764/klagomålsmail/A 5280-2022 FSC-klagomål mail.docx", "A 5280-2022")</f>
        <v/>
      </c>
      <c r="AC13">
        <f>HYPERLINK("https://klasma.github.io/Logging_1764/tillsyn/A 5280-2022 tillsynsbegäran.docx", "A 5280-2022")</f>
        <v/>
      </c>
      <c r="AD13">
        <f>HYPERLINK("https://klasma.github.io/Logging_1764/tillsynsmail/A 5280-2022 tillsynsbegäran mail.docx", "A 5280-2022")</f>
        <v/>
      </c>
      <c r="AE13">
        <f>HYPERLINK("https://klasma.github.io/Logging_1764/fåglar/A 5280-2022 prioriterade fågelarter.docx", "A 5280-2022")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46296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46296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46296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46296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46296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41113-2025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46296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Violmussling
Tofsmes</t>
        </is>
      </c>
      <c r="W19">
        <f>HYPERLINK("https://klasma.github.io/Logging_1764/artfynd/A 41113-2025 artfynd.xlsx", "A 41113-2025")</f>
        <v/>
      </c>
      <c r="X19">
        <f>HYPERLINK("https://klasma.github.io/Logging_1764/kartor/A 41113-2025 karta.png", "A 41113-2025")</f>
        <v/>
      </c>
      <c r="Y19">
        <f>HYPERLINK("https://klasma.github.io/Logging_1764/kartor_geotiff/A 41113-2025 georefererad karta.tif", "A 41113-2025")</f>
        <v/>
      </c>
      <c r="AA19">
        <f>HYPERLINK("https://klasma.github.io/Logging_1764/klagomål/A 41113-2025 FSC-klagomål.docx", "A 41113-2025")</f>
        <v/>
      </c>
      <c r="AB19">
        <f>HYPERLINK("https://klasma.github.io/Logging_1764/klagomålsmail/A 41113-2025 FSC-klagomål mail.docx", "A 41113-2025")</f>
        <v/>
      </c>
      <c r="AC19">
        <f>HYPERLINK("https://klasma.github.io/Logging_1764/tillsyn/A 41113-2025 tillsynsbegäran.docx", "A 41113-2025")</f>
        <v/>
      </c>
      <c r="AD19">
        <f>HYPERLINK("https://klasma.github.io/Logging_1764/tillsynsmail/A 41113-2025 tillsynsbegäran mail.docx", "A 41113-2025")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46296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54073-2021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46296</v>
      </c>
      <c r="F22" t="inlineStr">
        <is>
          <t>VÄRMLANDS LÄN</t>
        </is>
      </c>
      <c r="G22" t="inlineStr">
        <is>
          <t>GRUMS</t>
        </is>
      </c>
      <c r="I22" t="n">
        <v>20.6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HYPERLINK("https://klasma.github.io/Logging_1764/artfynd/A 54073-2021 artfynd.xlsx", "A 54073-2021")</f>
        <v/>
      </c>
      <c r="X22">
        <f>HYPERLINK("https://klasma.github.io/Logging_1764/kartor/A 54073-2021 karta.png", "A 54073-2021")</f>
        <v/>
      </c>
      <c r="Y22">
        <f>HYPERLINK("https://klasma.github.io/Logging_1764/kartor_geotiff/A 54073-2021 georefererad karta.tif", "A 54073-2021")</f>
        <v/>
      </c>
      <c r="AA22">
        <f>HYPERLINK("https://klasma.github.io/Logging_1764/klagomål/A 54073-2021 FSC-klagomål.docx", "A 54073-2021")</f>
        <v/>
      </c>
      <c r="AB22">
        <f>HYPERLINK("https://klasma.github.io/Logging_1764/klagomålsmail/A 54073-2021 FSC-klagomål mail.docx", "A 54073-2021")</f>
        <v/>
      </c>
      <c r="AC22">
        <f>HYPERLINK("https://klasma.github.io/Logging_1764/tillsyn/A 54073-2021 tillsynsbegäran.docx", "A 54073-2021")</f>
        <v/>
      </c>
      <c r="AD22">
        <f>HYPERLINK("https://klasma.github.io/Logging_1764/tillsynsmail/A 54073-2021 tillsynsbegäran mail.docx", "A 54073-2021")</f>
        <v/>
      </c>
      <c r="AE22">
        <f>HYPERLINK("https://klasma.github.io/Logging_1764/fåglar/A 54073-2021 prioriterade fågelarter.docx", "A 54073-2021")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46296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59760-2021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46296</v>
      </c>
      <c r="F24" t="inlineStr">
        <is>
          <t>VÄRMLANDS LÄN</t>
        </is>
      </c>
      <c r="G24" t="inlineStr">
        <is>
          <t>GRUMS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Bronshjon</t>
        </is>
      </c>
      <c r="W24">
        <f>HYPERLINK("https://klasma.github.io/Logging_1764/artfynd/A 59760-2021 artfynd.xlsx", "A 59760-2021")</f>
        <v/>
      </c>
      <c r="X24">
        <f>HYPERLINK("https://klasma.github.io/Logging_1764/kartor/A 59760-2021 karta.png", "A 59760-2021")</f>
        <v/>
      </c>
      <c r="Y24">
        <f>HYPERLINK("https://klasma.github.io/Logging_1764/kartor_geotiff/A 59760-2021 georefererad karta.tif", "A 59760-2021")</f>
        <v/>
      </c>
      <c r="AA24">
        <f>HYPERLINK("https://klasma.github.io/Logging_1764/klagomål/A 59760-2021 FSC-klagomål.docx", "A 59760-2021")</f>
        <v/>
      </c>
      <c r="AB24">
        <f>HYPERLINK("https://klasma.github.io/Logging_1764/klagomålsmail/A 59760-2021 FSC-klagomål mail.docx", "A 59760-2021")</f>
        <v/>
      </c>
      <c r="AC24">
        <f>HYPERLINK("https://klasma.github.io/Logging_1764/tillsyn/A 59760-2021 tillsynsbegäran.docx", "A 59760-2021")</f>
        <v/>
      </c>
      <c r="AD24">
        <f>HYPERLINK("https://klasma.github.io/Logging_1764/tillsynsmail/A 59760-2021 tillsynsbegäran mail.docx", "A 59760-2021")</f>
        <v/>
      </c>
    </row>
    <row r="25" ht="15" customHeight="1">
      <c r="A25" t="inlineStr">
        <is>
          <t>A 4178-2022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46296</v>
      </c>
      <c r="F25" t="inlineStr">
        <is>
          <t>VÄRMLANDS LÄN</t>
        </is>
      </c>
      <c r="G25" t="inlineStr">
        <is>
          <t>GRUMS</t>
        </is>
      </c>
      <c r="I25" t="n">
        <v>0.9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Skogsklocka</t>
        </is>
      </c>
      <c r="W25">
        <f>HYPERLINK("https://klasma.github.io/Logging_1764/artfynd/A 4178-2022 artfynd.xlsx", "A 4178-2022")</f>
        <v/>
      </c>
      <c r="X25">
        <f>HYPERLINK("https://klasma.github.io/Logging_1764/kartor/A 4178-2022 karta.png", "A 4178-2022")</f>
        <v/>
      </c>
      <c r="Y25">
        <f>HYPERLINK("https://klasma.github.io/Logging_1764/kartor_geotiff/A 4178-2022 georefererad karta.tif", "A 4178-2022")</f>
        <v/>
      </c>
      <c r="AA25">
        <f>HYPERLINK("https://klasma.github.io/Logging_1764/klagomål/A 4178-2022 FSC-klagomål.docx", "A 4178-2022")</f>
        <v/>
      </c>
      <c r="AB25">
        <f>HYPERLINK("https://klasma.github.io/Logging_1764/klagomålsmail/A 4178-2022 FSC-klagomål mail.docx", "A 4178-2022")</f>
        <v/>
      </c>
      <c r="AC25">
        <f>HYPERLINK("https://klasma.github.io/Logging_1764/tillsyn/A 4178-2022 tillsynsbegäran.docx", "A 4178-2022")</f>
        <v/>
      </c>
      <c r="AD25">
        <f>HYPERLINK("https://klasma.github.io/Logging_1764/tillsynsmail/A 4178-2022 tillsynsbegäran mail.docx", "A 4178-2022")</f>
        <v/>
      </c>
    </row>
    <row r="26" ht="15" customHeight="1">
      <c r="A26" t="inlineStr">
        <is>
          <t>A 17122-2024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45412</v>
      </c>
      <c r="E26" s="1" t="n">
        <v>46296</v>
      </c>
      <c r="F26" t="inlineStr">
        <is>
          <t>VÄRMLANDS LÄN</t>
        </is>
      </c>
      <c r="G26" t="inlineStr">
        <is>
          <t>GRUMS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17122-2024 artfynd.xlsx", "A 17122-2024")</f>
        <v/>
      </c>
      <c r="X26">
        <f>HYPERLINK("https://klasma.github.io/Logging_1764/kartor/A 17122-2024 karta.png", "A 17122-2024")</f>
        <v/>
      </c>
      <c r="Y26">
        <f>HYPERLINK("https://klasma.github.io/Logging_1764/kartor_geotiff/A 17122-2024 georefererad karta.tif", "A 17122-2024")</f>
        <v/>
      </c>
      <c r="AA26">
        <f>HYPERLINK("https://klasma.github.io/Logging_1764/klagomål/A 17122-2024 FSC-klagomål.docx", "A 17122-2024")</f>
        <v/>
      </c>
      <c r="AB26">
        <f>HYPERLINK("https://klasma.github.io/Logging_1764/klagomålsmail/A 17122-2024 FSC-klagomål mail.docx", "A 17122-2024")</f>
        <v/>
      </c>
      <c r="AC26">
        <f>HYPERLINK("https://klasma.github.io/Logging_1764/tillsyn/A 17122-2024 tillsynsbegäran.docx", "A 17122-2024")</f>
        <v/>
      </c>
      <c r="AD26">
        <f>HYPERLINK("https://klasma.github.io/Logging_1764/tillsynsmail/A 17122-2024 tillsynsbegäran mail.docx", "A 17122-2024")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46296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35077-2024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46296</v>
      </c>
      <c r="F28" t="inlineStr">
        <is>
          <t>VÄRMLANDS LÄN</t>
        </is>
      </c>
      <c r="G28" t="inlineStr">
        <is>
          <t>GRUMS</t>
        </is>
      </c>
      <c r="I28" t="n">
        <v>2.1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HYPERLINK("https://klasma.github.io/Logging_1764/artfynd/A 35077-2024 artfynd.xlsx", "A 35077-2024")</f>
        <v/>
      </c>
      <c r="X28">
        <f>HYPERLINK("https://klasma.github.io/Logging_1764/kartor/A 35077-2024 karta.png", "A 35077-2024")</f>
        <v/>
      </c>
      <c r="Y28">
        <f>HYPERLINK("https://klasma.github.io/Logging_1764/kartor_geotiff/A 35077-2024 georefererad karta.tif", "A 35077-2024")</f>
        <v/>
      </c>
      <c r="Z28">
        <f>HYPERLINK("https://klasma.github.io/Logging_1764/knärot/A 35077-2024 karta knärot.png", "A 35077-2024")</f>
        <v/>
      </c>
      <c r="AA28">
        <f>HYPERLINK("https://klasma.github.io/Logging_1764/klagomål/A 35077-2024 FSC-klagomål.docx", "A 35077-2024")</f>
        <v/>
      </c>
      <c r="AB28">
        <f>HYPERLINK("https://klasma.github.io/Logging_1764/klagomålsmail/A 35077-2024 FSC-klagomål mail.docx", "A 35077-2024")</f>
        <v/>
      </c>
      <c r="AC28">
        <f>HYPERLINK("https://klasma.github.io/Logging_1764/tillsyn/A 35077-2024 tillsynsbegäran.docx", "A 35077-2024")</f>
        <v/>
      </c>
      <c r="AD28">
        <f>HYPERLINK("https://klasma.github.io/Logging_1764/tillsynsmail/A 35077-2024 tillsynsbegäran mail.docx", "A 35077-2024")</f>
        <v/>
      </c>
    </row>
    <row r="29" ht="15" customHeight="1">
      <c r="A29" t="inlineStr">
        <is>
          <t>A 29582-2024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45484</v>
      </c>
      <c r="E29" s="1" t="n">
        <v>46296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HYPERLINK("https://klasma.github.io/Logging_1764/artfynd/A 29582-2024 artfynd.xlsx", "A 29582-2024")</f>
        <v/>
      </c>
      <c r="X29">
        <f>HYPERLINK("https://klasma.github.io/Logging_1764/kartor/A 29582-2024 karta.png", "A 29582-2024")</f>
        <v/>
      </c>
      <c r="Y29">
        <f>HYPERLINK("https://klasma.github.io/Logging_1764/kartor_geotiff/A 29582-2024 georefererad karta.tif", "A 29582-2024")</f>
        <v/>
      </c>
      <c r="AA29">
        <f>HYPERLINK("https://klasma.github.io/Logging_1764/klagomål/A 29582-2024 FSC-klagomål.docx", "A 29582-2024")</f>
        <v/>
      </c>
      <c r="AB29">
        <f>HYPERLINK("https://klasma.github.io/Logging_1764/klagomålsmail/A 29582-2024 FSC-klagomål mail.docx", "A 29582-2024")</f>
        <v/>
      </c>
      <c r="AC29">
        <f>HYPERLINK("https://klasma.github.io/Logging_1764/tillsyn/A 29582-2024 tillsynsbegäran.docx", "A 29582-2024")</f>
        <v/>
      </c>
      <c r="AD29">
        <f>HYPERLINK("https://klasma.github.io/Logging_1764/tillsynsmail/A 29582-2024 tillsynsbegäran mail.docx", "A 29582-2024")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46296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10647-2024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45368</v>
      </c>
      <c r="E31" s="1" t="n">
        <v>46296</v>
      </c>
      <c r="F31" t="inlineStr">
        <is>
          <t>VÄRMLANDS LÄN</t>
        </is>
      </c>
      <c r="G31" t="inlineStr">
        <is>
          <t>GRUMS</t>
        </is>
      </c>
      <c r="I31" t="n">
        <v>4.1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Kråka</t>
        </is>
      </c>
      <c r="W31">
        <f>HYPERLINK("https://klasma.github.io/Logging_1764/artfynd/A 10647-2024 artfynd.xlsx", "A 10647-2024")</f>
        <v/>
      </c>
      <c r="X31">
        <f>HYPERLINK("https://klasma.github.io/Logging_1764/kartor/A 10647-2024 karta.png", "A 10647-2024")</f>
        <v/>
      </c>
      <c r="Y31">
        <f>HYPERLINK("https://klasma.github.io/Logging_1764/kartor_geotiff/A 10647-2024 georefererad karta.tif", "A 10647-2024")</f>
        <v/>
      </c>
      <c r="AA31">
        <f>HYPERLINK("https://klasma.github.io/Logging_1764/klagomål/A 10647-2024 FSC-klagomål.docx", "A 10647-2024")</f>
        <v/>
      </c>
      <c r="AB31">
        <f>HYPERLINK("https://klasma.github.io/Logging_1764/klagomålsmail/A 10647-2024 FSC-klagomål mail.docx", "A 10647-2024")</f>
        <v/>
      </c>
      <c r="AC31">
        <f>HYPERLINK("https://klasma.github.io/Logging_1764/tillsyn/A 10647-2024 tillsynsbegäran.docx", "A 10647-2024")</f>
        <v/>
      </c>
      <c r="AD31">
        <f>HYPERLINK("https://klasma.github.io/Logging_1764/tillsynsmail/A 10647-2024 tillsynsbegäran mail.docx", "A 10647-2024")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46296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HYPERLINK("https://klasma.github.io/Logging_1764/artfynd/A 13121-2023 artfynd.xlsx", "A 13121-2023")</f>
        <v/>
      </c>
      <c r="X32">
        <f>HYPERLINK("https://klasma.github.io/Logging_1764/kartor/A 13121-2023 karta.png", "A 13121-2023")</f>
        <v/>
      </c>
      <c r="Y32">
        <f>HYPERLINK("https://klasma.github.io/Logging_1764/kartor_geotiff/A 13121-2023 georefererad karta.tif", "A 13121-2023")</f>
        <v/>
      </c>
      <c r="AA32">
        <f>HYPERLINK("https://klasma.github.io/Logging_1764/klagomål/A 13121-2023 FSC-klagomål.docx", "A 13121-2023")</f>
        <v/>
      </c>
      <c r="AB32">
        <f>HYPERLINK("https://klasma.github.io/Logging_1764/klagomålsmail/A 13121-2023 FSC-klagomål mail.docx", "A 13121-2023")</f>
        <v/>
      </c>
      <c r="AC32">
        <f>HYPERLINK("https://klasma.github.io/Logging_1764/tillsyn/A 13121-2023 tillsynsbegäran.docx", "A 13121-2023")</f>
        <v/>
      </c>
      <c r="AD32">
        <f>HYPERLINK("https://klasma.github.io/Logging_1764/tillsynsmail/A 13121-2023 tillsynsbegäran mail.docx", "A 13121-2023")</f>
        <v/>
      </c>
    </row>
    <row r="33" ht="15" customHeight="1">
      <c r="A33" t="inlineStr">
        <is>
          <t>A 62675-2023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46296</v>
      </c>
      <c r="F33" t="inlineStr">
        <is>
          <t>VÄRMLANDS LÄN</t>
        </is>
      </c>
      <c r="G33" t="inlineStr">
        <is>
          <t>GRUMS</t>
        </is>
      </c>
      <c r="I33" t="n">
        <v>3.4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HYPERLINK("https://klasma.github.io/Logging_1764/artfynd/A 62675-2023 artfynd.xlsx", "A 62675-2023")</f>
        <v/>
      </c>
      <c r="X33">
        <f>HYPERLINK("https://klasma.github.io/Logging_1764/kartor/A 62675-2023 karta.png", "A 62675-2023")</f>
        <v/>
      </c>
      <c r="Y33">
        <f>HYPERLINK("https://klasma.github.io/Logging_1764/kartor_geotiff/A 62675-2023 georefererad karta.tif", "A 62675-2023")</f>
        <v/>
      </c>
      <c r="AA33">
        <f>HYPERLINK("https://klasma.github.io/Logging_1764/klagomål/A 62675-2023 FSC-klagomål.docx", "A 62675-2023")</f>
        <v/>
      </c>
      <c r="AB33">
        <f>HYPERLINK("https://klasma.github.io/Logging_1764/klagomålsmail/A 62675-2023 FSC-klagomål mail.docx", "A 62675-2023")</f>
        <v/>
      </c>
      <c r="AC33">
        <f>HYPERLINK("https://klasma.github.io/Logging_1764/tillsyn/A 62675-2023 tillsynsbegäran.docx", "A 62675-2023")</f>
        <v/>
      </c>
      <c r="AD33">
        <f>HYPERLINK("https://klasma.github.io/Logging_1764/tillsynsmail/A 62675-2023 tillsynsbegäran mail.docx", "A 62675-2023")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46296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46296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46296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19052-2024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46296</v>
      </c>
      <c r="F37" t="inlineStr">
        <is>
          <t>VÄRMLANDS LÄN</t>
        </is>
      </c>
      <c r="G37" t="inlineStr">
        <is>
          <t>GRUMS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Skogsalm</t>
        </is>
      </c>
      <c r="W37">
        <f>HYPERLINK("https://klasma.github.io/Logging_1764/artfynd/A 19052-2024 artfynd.xlsx", "A 19052-2024")</f>
        <v/>
      </c>
      <c r="X37">
        <f>HYPERLINK("https://klasma.github.io/Logging_1764/kartor/A 19052-2024 karta.png", "A 19052-2024")</f>
        <v/>
      </c>
      <c r="Y37">
        <f>HYPERLINK("https://klasma.github.io/Logging_1764/kartor_geotiff/A 19052-2024 georefererad karta.tif", "A 19052-2024")</f>
        <v/>
      </c>
      <c r="AA37">
        <f>HYPERLINK("https://klasma.github.io/Logging_1764/klagomål/A 19052-2024 FSC-klagomål.docx", "A 19052-2024")</f>
        <v/>
      </c>
      <c r="AB37">
        <f>HYPERLINK("https://klasma.github.io/Logging_1764/klagomålsmail/A 19052-2024 FSC-klagomål mail.docx", "A 19052-2024")</f>
        <v/>
      </c>
      <c r="AC37">
        <f>HYPERLINK("https://klasma.github.io/Logging_1764/tillsyn/A 19052-2024 tillsynsbegäran.docx", "A 19052-2024")</f>
        <v/>
      </c>
      <c r="AD37">
        <f>HYPERLINK("https://klasma.github.io/Logging_1764/tillsynsmail/A 19052-2024 tillsynsbegäran mail.docx", "A 19052-2024")</f>
        <v/>
      </c>
    </row>
    <row r="38" ht="15" customHeight="1">
      <c r="A38" t="inlineStr">
        <is>
          <t>A 47146-2025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46296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Duvhök</t>
        </is>
      </c>
      <c r="W38">
        <f>HYPERLINK("https://klasma.github.io/Logging_1764/artfynd/A 47146-2025 artfynd.xlsx", "A 47146-2025")</f>
        <v/>
      </c>
      <c r="X38">
        <f>HYPERLINK("https://klasma.github.io/Logging_1764/kartor/A 47146-2025 karta.png", "A 47146-2025")</f>
        <v/>
      </c>
      <c r="Y38">
        <f>HYPERLINK("https://klasma.github.io/Logging_1764/kartor_geotiff/A 47146-2025 georefererad karta.tif", "A 47146-2025")</f>
        <v/>
      </c>
      <c r="AA38">
        <f>HYPERLINK("https://klasma.github.io/Logging_1764/klagomål/A 47146-2025 FSC-klagomål.docx", "A 47146-2025")</f>
        <v/>
      </c>
      <c r="AB38">
        <f>HYPERLINK("https://klasma.github.io/Logging_1764/klagomålsmail/A 47146-2025 FSC-klagomål mail.docx", "A 47146-2025")</f>
        <v/>
      </c>
      <c r="AC38">
        <f>HYPERLINK("https://klasma.github.io/Logging_1764/tillsyn/A 47146-2025 tillsynsbegäran.docx", "A 47146-2025")</f>
        <v/>
      </c>
      <c r="AD38">
        <f>HYPERLINK("https://klasma.github.io/Logging_1764/tillsynsmail/A 47146-2025 tillsynsbegäran mail.docx", "A 47146-2025")</f>
        <v/>
      </c>
      <c r="AE38">
        <f>HYPERLINK("https://klasma.github.io/Logging_1764/fåglar/A 47146-2025 prioriterade fågelarter.docx", "A 47146-2025")</f>
        <v/>
      </c>
    </row>
    <row r="39" ht="15" customHeight="1">
      <c r="A39" t="inlineStr">
        <is>
          <t>A 12296-2026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46087</v>
      </c>
      <c r="E39" s="1" t="n">
        <v>46296</v>
      </c>
      <c r="F39" t="inlineStr">
        <is>
          <t>VÄRMLANDS LÄN</t>
        </is>
      </c>
      <c r="G39" t="inlineStr">
        <is>
          <t>GRUMS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HYPERLINK("https://klasma.github.io/Logging_1764/artfynd/A 12296-2026 artfynd.xlsx", "A 12296-2026")</f>
        <v/>
      </c>
      <c r="X39">
        <f>HYPERLINK("https://klasma.github.io/Logging_1764/kartor/A 12296-2026 karta.png", "A 12296-2026")</f>
        <v/>
      </c>
      <c r="Y39">
        <f>HYPERLINK("https://klasma.github.io/Logging_1764/kartor_geotiff/A 12296-2026 georefererad karta.tif", "A 12296-2026")</f>
        <v/>
      </c>
      <c r="AA39">
        <f>HYPERLINK("https://klasma.github.io/Logging_1764/klagomål/A 12296-2026 FSC-klagomål.docx", "A 12296-2026")</f>
        <v/>
      </c>
      <c r="AB39">
        <f>HYPERLINK("https://klasma.github.io/Logging_1764/klagomålsmail/A 12296-2026 FSC-klagomål mail.docx", "A 12296-2026")</f>
        <v/>
      </c>
      <c r="AC39">
        <f>HYPERLINK("https://klasma.github.io/Logging_1764/tillsyn/A 12296-2026 tillsynsbegäran.docx", "A 12296-2026")</f>
        <v/>
      </c>
      <c r="AD39">
        <f>HYPERLINK("https://klasma.github.io/Logging_1764/tillsynsmail/A 12296-2026 tillsynsbegäran mail.docx", "A 12296-2026")</f>
        <v/>
      </c>
    </row>
    <row r="40" ht="15" customHeight="1">
      <c r="A40" t="inlineStr">
        <is>
          <t>A 30411-2025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45827</v>
      </c>
      <c r="E40" s="1" t="n">
        <v>46296</v>
      </c>
      <c r="F40" t="inlineStr">
        <is>
          <t>VÄRMLANDS LÄN</t>
        </is>
      </c>
      <c r="G40" t="inlineStr">
        <is>
          <t>GRUMS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HYPERLINK("https://klasma.github.io/Logging_1764/artfynd/A 30411-2025 artfynd.xlsx", "A 30411-2025")</f>
        <v/>
      </c>
      <c r="X40">
        <f>HYPERLINK("https://klasma.github.io/Logging_1764/kartor/A 30411-2025 karta.png", "A 30411-2025")</f>
        <v/>
      </c>
      <c r="Y40">
        <f>HYPERLINK("https://klasma.github.io/Logging_1764/kartor_geotiff/A 30411-2025 georefererad karta.tif", "A 30411-2025")</f>
        <v/>
      </c>
      <c r="AA40">
        <f>HYPERLINK("https://klasma.github.io/Logging_1764/klagomål/A 30411-2025 FSC-klagomål.docx", "A 30411-2025")</f>
        <v/>
      </c>
      <c r="AB40">
        <f>HYPERLINK("https://klasma.github.io/Logging_1764/klagomålsmail/A 30411-2025 FSC-klagomål mail.docx", "A 30411-2025")</f>
        <v/>
      </c>
      <c r="AC40">
        <f>HYPERLINK("https://klasma.github.io/Logging_1764/tillsyn/A 30411-2025 tillsynsbegäran.docx", "A 30411-2025")</f>
        <v/>
      </c>
      <c r="AD40">
        <f>HYPERLINK("https://klasma.github.io/Logging_1764/tillsynsmail/A 30411-2025 tillsynsbegäran mail.docx", "A 30411-2025")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46296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46296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46296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46296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46296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46296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46296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46296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46296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46296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46296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46296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46296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46296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46296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46296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46296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46296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46296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46296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46296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44627</v>
      </c>
      <c r="E62" s="1" t="n">
        <v>46296</v>
      </c>
      <c r="F62" t="inlineStr">
        <is>
          <t>VÄRMLANDS LÄN</t>
        </is>
      </c>
      <c r="G62" t="inlineStr">
        <is>
          <t>GRUMS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46296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46296</v>
      </c>
      <c r="F64" t="inlineStr">
        <is>
          <t>VÄRMLANDS LÄN</t>
        </is>
      </c>
      <c r="G64" t="inlineStr">
        <is>
          <t>GRUMS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46296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46296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44732</v>
      </c>
      <c r="E67" s="1" t="n">
        <v>46296</v>
      </c>
      <c r="F67" t="inlineStr">
        <is>
          <t>VÄRMLANDS LÄN</t>
        </is>
      </c>
      <c r="G67" t="inlineStr">
        <is>
          <t>GRUMS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46296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46296</v>
      </c>
      <c r="F69" t="inlineStr">
        <is>
          <t>VÄRMLANDS LÄN</t>
        </is>
      </c>
      <c r="G69" t="inlineStr">
        <is>
          <t>GRUMS</t>
        </is>
      </c>
      <c r="I69" t="n">
        <v>14.3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46296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46296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46296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46296</v>
      </c>
      <c r="F73" t="inlineStr">
        <is>
          <t>VÄRMLANDS LÄN</t>
        </is>
      </c>
      <c r="G73" t="inlineStr">
        <is>
          <t>GRUMS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46296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46296</v>
      </c>
      <c r="F75" t="inlineStr">
        <is>
          <t>VÄRMLANDS LÄN</t>
        </is>
      </c>
      <c r="G75" t="inlineStr">
        <is>
          <t>GRUMS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46296</v>
      </c>
      <c r="F76" t="inlineStr">
        <is>
          <t>VÄRMLANDS LÄN</t>
        </is>
      </c>
      <c r="G76" t="inlineStr">
        <is>
          <t>GRUMS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46296</v>
      </c>
      <c r="F77" t="inlineStr">
        <is>
          <t>VÄRMLANDS LÄN</t>
        </is>
      </c>
      <c r="G77" t="inlineStr">
        <is>
          <t>GRUMS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19566-2023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46296</v>
      </c>
      <c r="F78" t="inlineStr">
        <is>
          <t>VÄRMLANDS LÄN</t>
        </is>
      </c>
      <c r="G78" t="inlineStr">
        <is>
          <t>GRUMS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46296</v>
      </c>
      <c r="F79" t="inlineStr">
        <is>
          <t>VÄRMLANDS LÄN</t>
        </is>
      </c>
      <c r="G79" t="inlineStr">
        <is>
          <t>GRUMS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46296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46296</v>
      </c>
      <c r="F81" t="inlineStr">
        <is>
          <t>VÄRMLANDS LÄN</t>
        </is>
      </c>
      <c r="G81" t="inlineStr">
        <is>
          <t>GRUMS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46296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14.4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46296</v>
      </c>
      <c r="F83" t="inlineStr">
        <is>
          <t>VÄRMLANDS LÄN</t>
        </is>
      </c>
      <c r="G83" t="inlineStr">
        <is>
          <t>GRUMS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45757</v>
      </c>
      <c r="E84" s="1" t="n">
        <v>46296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46296</v>
      </c>
      <c r="F85" t="inlineStr">
        <is>
          <t>VÄRMLANDS LÄN</t>
        </is>
      </c>
      <c r="G85" t="inlineStr">
        <is>
          <t>GRUMS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73033-2021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46296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46296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46296</v>
      </c>
      <c r="F88" t="inlineStr">
        <is>
          <t>VÄRMLANDS LÄN</t>
        </is>
      </c>
      <c r="G88" t="inlineStr">
        <is>
          <t>GRUMS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45188</v>
      </c>
      <c r="E89" s="1" t="n">
        <v>46296</v>
      </c>
      <c r="F89" t="inlineStr">
        <is>
          <t>VÄRMLANDS LÄN</t>
        </is>
      </c>
      <c r="G89" t="inlineStr">
        <is>
          <t>GRUMS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46296</v>
      </c>
      <c r="F90" t="inlineStr">
        <is>
          <t>VÄRMLANDS LÄN</t>
        </is>
      </c>
      <c r="G90" t="inlineStr">
        <is>
          <t>GRUMS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44984</v>
      </c>
      <c r="E91" s="1" t="n">
        <v>46296</v>
      </c>
      <c r="F91" t="inlineStr">
        <is>
          <t>VÄRMLANDS LÄN</t>
        </is>
      </c>
      <c r="G91" t="inlineStr">
        <is>
          <t>GRUMS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46296</v>
      </c>
      <c r="F92" t="inlineStr">
        <is>
          <t>VÄRMLANDS LÄN</t>
        </is>
      </c>
      <c r="G92" t="inlineStr">
        <is>
          <t>GRUMS</t>
        </is>
      </c>
      <c r="I92" t="n">
        <v>13.8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46296</v>
      </c>
      <c r="F93" t="inlineStr">
        <is>
          <t>VÄRMLANDS LÄN</t>
        </is>
      </c>
      <c r="G93" t="inlineStr">
        <is>
          <t>GRUMS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46296</v>
      </c>
      <c r="F94" t="inlineStr">
        <is>
          <t>VÄRMLANDS LÄN</t>
        </is>
      </c>
      <c r="G94" t="inlineStr">
        <is>
          <t>GRUMS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46296</v>
      </c>
      <c r="F95" t="inlineStr">
        <is>
          <t>VÄRMLANDS LÄN</t>
        </is>
      </c>
      <c r="G95" t="inlineStr">
        <is>
          <t>GRUMS</t>
        </is>
      </c>
      <c r="H95" t="inlineStr">
        <is>
          <t>Bergvik skog väst AB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45070</v>
      </c>
      <c r="E96" s="1" t="n">
        <v>46296</v>
      </c>
      <c r="F96" t="inlineStr">
        <is>
          <t>VÄRMLANDS LÄN</t>
        </is>
      </c>
      <c r="G96" t="inlineStr">
        <is>
          <t>GRUMS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46296</v>
      </c>
      <c r="F97" t="inlineStr">
        <is>
          <t>VÄRMLANDS LÄN</t>
        </is>
      </c>
      <c r="G97" t="inlineStr">
        <is>
          <t>GRUMS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45245</v>
      </c>
      <c r="E98" s="1" t="n">
        <v>46296</v>
      </c>
      <c r="F98" t="inlineStr">
        <is>
          <t>VÄRMLANDS LÄN</t>
        </is>
      </c>
      <c r="G98" t="inlineStr">
        <is>
          <t>GRUMS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45245</v>
      </c>
      <c r="E99" s="1" t="n">
        <v>46296</v>
      </c>
      <c r="F99" t="inlineStr">
        <is>
          <t>VÄRMLANDS LÄN</t>
        </is>
      </c>
      <c r="G99" t="inlineStr">
        <is>
          <t>GRUMS</t>
        </is>
      </c>
      <c r="I99" t="n">
        <v>18.2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46296</v>
      </c>
      <c r="F100" t="inlineStr">
        <is>
          <t>VÄRMLANDS LÄN</t>
        </is>
      </c>
      <c r="G100" t="inlineStr">
        <is>
          <t>GRUMS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37486-2022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44809</v>
      </c>
      <c r="E101" s="1" t="n">
        <v>46296</v>
      </c>
      <c r="F101" t="inlineStr">
        <is>
          <t>VÄRMLANDS LÄN</t>
        </is>
      </c>
      <c r="G101" t="inlineStr">
        <is>
          <t>GRUMS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46296</v>
      </c>
      <c r="F102" t="inlineStr">
        <is>
          <t>VÄRMLANDS LÄN</t>
        </is>
      </c>
      <c r="G102" t="inlineStr">
        <is>
          <t>GRUMS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46296</v>
      </c>
      <c r="F103" t="inlineStr">
        <is>
          <t>VÄRMLANDS LÄN</t>
        </is>
      </c>
      <c r="G103" t="inlineStr">
        <is>
          <t>GRUMS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46296</v>
      </c>
      <c r="F104" t="inlineStr">
        <is>
          <t>VÄRMLANDS LÄN</t>
        </is>
      </c>
      <c r="G104" t="inlineStr">
        <is>
          <t>GRUMS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46296</v>
      </c>
      <c r="F105" t="inlineStr">
        <is>
          <t>VÄRMLANDS LÄN</t>
        </is>
      </c>
      <c r="G105" t="inlineStr">
        <is>
          <t>GRUMS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46296</v>
      </c>
      <c r="F106" t="inlineStr">
        <is>
          <t>VÄRMLANDS LÄN</t>
        </is>
      </c>
      <c r="G106" t="inlineStr">
        <is>
          <t>GRUMS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46296</v>
      </c>
      <c r="F107" t="inlineStr">
        <is>
          <t>VÄRMLANDS LÄN</t>
        </is>
      </c>
      <c r="G107" t="inlineStr">
        <is>
          <t>GRUMS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46296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56220-2023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46296</v>
      </c>
      <c r="F109" t="inlineStr">
        <is>
          <t>VÄRMLANDS LÄN</t>
        </is>
      </c>
      <c r="G109" t="inlineStr">
        <is>
          <t>GRUMS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46296</v>
      </c>
      <c r="F110" t="inlineStr">
        <is>
          <t>VÄRMLANDS LÄN</t>
        </is>
      </c>
      <c r="G110" t="inlineStr">
        <is>
          <t>GRUMS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46296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45391</v>
      </c>
      <c r="E112" s="1" t="n">
        <v>46296</v>
      </c>
      <c r="F112" t="inlineStr">
        <is>
          <t>VÄRMLANDS LÄN</t>
        </is>
      </c>
      <c r="G112" t="inlineStr">
        <is>
          <t>GRUMS</t>
        </is>
      </c>
      <c r="H112" t="inlineStr">
        <is>
          <t>Bergvik skog väst AB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44785</v>
      </c>
      <c r="E113" s="1" t="n">
        <v>46296</v>
      </c>
      <c r="F113" t="inlineStr">
        <is>
          <t>VÄRMLANDS LÄN</t>
        </is>
      </c>
      <c r="G113" t="inlineStr">
        <is>
          <t>GRUMS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46296</v>
      </c>
      <c r="F114" t="inlineStr">
        <is>
          <t>VÄRMLANDS LÄN</t>
        </is>
      </c>
      <c r="G114" t="inlineStr">
        <is>
          <t>GRUMS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45467</v>
      </c>
      <c r="E115" s="1" t="n">
        <v>46296</v>
      </c>
      <c r="F115" t="inlineStr">
        <is>
          <t>VÄRMLANDS LÄN</t>
        </is>
      </c>
      <c r="G115" t="inlineStr">
        <is>
          <t>GRUMS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29724-2023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45107</v>
      </c>
      <c r="E116" s="1" t="n">
        <v>46296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46296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37676-2023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45159</v>
      </c>
      <c r="E118" s="1" t="n">
        <v>46296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46296</v>
      </c>
      <c r="F119" t="inlineStr">
        <is>
          <t>VÄRMLANDS LÄN</t>
        </is>
      </c>
      <c r="G119" t="inlineStr">
        <is>
          <t>GRUMS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46296</v>
      </c>
      <c r="F120" t="inlineStr">
        <is>
          <t>VÄRMLANDS LÄN</t>
        </is>
      </c>
      <c r="G120" t="inlineStr">
        <is>
          <t>GRUMS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46296</v>
      </c>
      <c r="F121" t="inlineStr">
        <is>
          <t>VÄRMLANDS LÄN</t>
        </is>
      </c>
      <c r="G121" t="inlineStr">
        <is>
          <t>GRUMS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46296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46296</v>
      </c>
      <c r="F123" t="inlineStr">
        <is>
          <t>VÄRMLANDS LÄN</t>
        </is>
      </c>
      <c r="G123" t="inlineStr">
        <is>
          <t>GRUMS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50640-2023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45217</v>
      </c>
      <c r="E124" s="1" t="n">
        <v>46296</v>
      </c>
      <c r="F124" t="inlineStr">
        <is>
          <t>VÄRMLANDS LÄN</t>
        </is>
      </c>
      <c r="G124" t="inlineStr">
        <is>
          <t>GRUMS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45432</v>
      </c>
      <c r="E125" s="1" t="n">
        <v>46296</v>
      </c>
      <c r="F125" t="inlineStr">
        <is>
          <t>VÄRMLANDS LÄN</t>
        </is>
      </c>
      <c r="G125" t="inlineStr">
        <is>
          <t>GRUMS</t>
        </is>
      </c>
      <c r="H125" t="inlineStr">
        <is>
          <t>Bergvik skog väst AB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46296</v>
      </c>
      <c r="F126" t="inlineStr">
        <is>
          <t>VÄRMLANDS LÄN</t>
        </is>
      </c>
      <c r="G126" t="inlineStr">
        <is>
          <t>GRUMS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46296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46296</v>
      </c>
      <c r="F128" t="inlineStr">
        <is>
          <t>VÄRMLANDS LÄN</t>
        </is>
      </c>
      <c r="G128" t="inlineStr">
        <is>
          <t>GRUMS</t>
        </is>
      </c>
      <c r="I128" t="n">
        <v>13.7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46296</v>
      </c>
      <c r="F129" t="inlineStr">
        <is>
          <t>VÄRMLANDS LÄN</t>
        </is>
      </c>
      <c r="G129" t="inlineStr">
        <is>
          <t>GRUMS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46296</v>
      </c>
      <c r="F130" t="inlineStr">
        <is>
          <t>VÄRMLANDS LÄN</t>
        </is>
      </c>
      <c r="G130" t="inlineStr">
        <is>
          <t>GRUMS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46296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46296</v>
      </c>
      <c r="F132" t="inlineStr">
        <is>
          <t>VÄRMLANDS LÄN</t>
        </is>
      </c>
      <c r="G132" t="inlineStr">
        <is>
          <t>GRUMS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46296</v>
      </c>
      <c r="F133" t="inlineStr">
        <is>
          <t>VÄRMLANDS LÄN</t>
        </is>
      </c>
      <c r="G133" t="inlineStr">
        <is>
          <t>GRUMS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46296</v>
      </c>
      <c r="F134" t="inlineStr">
        <is>
          <t>VÄRMLANDS LÄN</t>
        </is>
      </c>
      <c r="G134" t="inlineStr">
        <is>
          <t>GRUMS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46296</v>
      </c>
      <c r="F135" t="inlineStr">
        <is>
          <t>VÄRMLANDS LÄN</t>
        </is>
      </c>
      <c r="G135" t="inlineStr">
        <is>
          <t>GRUMS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46296</v>
      </c>
      <c r="F136" t="inlineStr">
        <is>
          <t>VÄRMLANDS LÄN</t>
        </is>
      </c>
      <c r="G136" t="inlineStr">
        <is>
          <t>GRUMS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45484</v>
      </c>
      <c r="E137" s="1" t="n">
        <v>46296</v>
      </c>
      <c r="F137" t="inlineStr">
        <is>
          <t>VÄRMLANDS LÄN</t>
        </is>
      </c>
      <c r="G137" t="inlineStr">
        <is>
          <t>GRUMS</t>
        </is>
      </c>
      <c r="H137" t="inlineStr">
        <is>
          <t>Bergvik skog väst AB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46296</v>
      </c>
      <c r="F138" t="inlineStr">
        <is>
          <t>VÄRMLANDS LÄN</t>
        </is>
      </c>
      <c r="G138" t="inlineStr">
        <is>
          <t>GRUMS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46296</v>
      </c>
      <c r="F139" t="inlineStr">
        <is>
          <t>VÄRMLANDS LÄN</t>
        </is>
      </c>
      <c r="G139" t="inlineStr">
        <is>
          <t>GRUMS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31362-2024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45505</v>
      </c>
      <c r="E140" s="1" t="n">
        <v>46296</v>
      </c>
      <c r="F140" t="inlineStr">
        <is>
          <t>VÄRMLANDS LÄN</t>
        </is>
      </c>
      <c r="G140" t="inlineStr">
        <is>
          <t>GRUMS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44608</v>
      </c>
      <c r="E141" s="1" t="n">
        <v>46296</v>
      </c>
      <c r="F141" t="inlineStr">
        <is>
          <t>VÄRMLANDS LÄN</t>
        </is>
      </c>
      <c r="G141" t="inlineStr">
        <is>
          <t>GRUMS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45670</v>
      </c>
      <c r="E142" s="1" t="n">
        <v>46296</v>
      </c>
      <c r="F142" t="inlineStr">
        <is>
          <t>VÄRMLANDS LÄN</t>
        </is>
      </c>
      <c r="G142" t="inlineStr">
        <is>
          <t>GRUMS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46296</v>
      </c>
      <c r="F143" t="inlineStr">
        <is>
          <t>VÄRMLANDS LÄN</t>
        </is>
      </c>
      <c r="G143" t="inlineStr">
        <is>
          <t>GRUMS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45729</v>
      </c>
      <c r="E144" s="1" t="n">
        <v>46296</v>
      </c>
      <c r="F144" t="inlineStr">
        <is>
          <t>VÄRMLANDS LÄN</t>
        </is>
      </c>
      <c r="G144" t="inlineStr">
        <is>
          <t>GRUMS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46296</v>
      </c>
      <c r="F145" t="inlineStr">
        <is>
          <t>VÄRMLANDS LÄN</t>
        </is>
      </c>
      <c r="G145" t="inlineStr">
        <is>
          <t>GRUMS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46296</v>
      </c>
      <c r="F146" t="inlineStr">
        <is>
          <t>VÄRMLANDS LÄN</t>
        </is>
      </c>
      <c r="G146" t="inlineStr">
        <is>
          <t>GRUMS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22537-2025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45787</v>
      </c>
      <c r="E147" s="1" t="n">
        <v>46296</v>
      </c>
      <c r="F147" t="inlineStr">
        <is>
          <t>VÄRMLANDS LÄN</t>
        </is>
      </c>
      <c r="G147" t="inlineStr">
        <is>
          <t>GRUMS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46296</v>
      </c>
      <c r="F148" t="inlineStr">
        <is>
          <t>VÄRMLANDS LÄN</t>
        </is>
      </c>
      <c r="G148" t="inlineStr">
        <is>
          <t>GRUMS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46296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45386</v>
      </c>
      <c r="E150" s="1" t="n">
        <v>46296</v>
      </c>
      <c r="F150" t="inlineStr">
        <is>
          <t>VÄRMLANDS LÄN</t>
        </is>
      </c>
      <c r="G150" t="inlineStr">
        <is>
          <t>GRUMS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46296</v>
      </c>
      <c r="F151" t="inlineStr">
        <is>
          <t>VÄRMLANDS LÄN</t>
        </is>
      </c>
      <c r="G151" t="inlineStr">
        <is>
          <t>GRUMS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45461</v>
      </c>
      <c r="E152" s="1" t="n">
        <v>46296</v>
      </c>
      <c r="F152" t="inlineStr">
        <is>
          <t>VÄRMLANDS LÄN</t>
        </is>
      </c>
      <c r="G152" t="inlineStr">
        <is>
          <t>GRUMS</t>
        </is>
      </c>
      <c r="I152" t="n">
        <v>12.8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45412</v>
      </c>
      <c r="E153" s="1" t="n">
        <v>46296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46296</v>
      </c>
      <c r="F154" t="inlineStr">
        <is>
          <t>VÄRMLANDS LÄN</t>
        </is>
      </c>
      <c r="G154" t="inlineStr">
        <is>
          <t>GRUMS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46296</v>
      </c>
      <c r="F155" t="inlineStr">
        <is>
          <t>VÄRMLANDS LÄN</t>
        </is>
      </c>
      <c r="G155" t="inlineStr">
        <is>
          <t>GRUMS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46296</v>
      </c>
      <c r="F156" t="inlineStr">
        <is>
          <t>VÄRMLANDS LÄN</t>
        </is>
      </c>
      <c r="G156" t="inlineStr">
        <is>
          <t>GRUMS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46296</v>
      </c>
      <c r="F157" t="inlineStr">
        <is>
          <t>VÄRMLANDS LÄN</t>
        </is>
      </c>
      <c r="G157" t="inlineStr">
        <is>
          <t>GRUMS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46296</v>
      </c>
      <c r="F158" t="inlineStr">
        <is>
          <t>VÄRMLANDS LÄN</t>
        </is>
      </c>
      <c r="G158" t="inlineStr">
        <is>
          <t>GRUMS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44845</v>
      </c>
      <c r="E159" s="1" t="n">
        <v>46296</v>
      </c>
      <c r="F159" t="inlineStr">
        <is>
          <t>VÄRMLANDS LÄN</t>
        </is>
      </c>
      <c r="G159" t="inlineStr">
        <is>
          <t>GRUMS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64304-2023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46296</v>
      </c>
      <c r="F160" t="inlineStr">
        <is>
          <t>VÄRMLANDS LÄN</t>
        </is>
      </c>
      <c r="G160" t="inlineStr">
        <is>
          <t>GRUMS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46296</v>
      </c>
      <c r="F161" t="inlineStr">
        <is>
          <t>VÄRMLANDS LÄN</t>
        </is>
      </c>
      <c r="G161" t="inlineStr">
        <is>
          <t>GRUMS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46296</v>
      </c>
      <c r="F162" t="inlineStr">
        <is>
          <t>VÄRMLANDS LÄN</t>
        </is>
      </c>
      <c r="G162" t="inlineStr">
        <is>
          <t>GRUMS</t>
        </is>
      </c>
      <c r="I162" t="n">
        <v>22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46296</v>
      </c>
      <c r="F163" t="inlineStr">
        <is>
          <t>VÄRMLANDS LÄN</t>
        </is>
      </c>
      <c r="G163" t="inlineStr">
        <is>
          <t>GRUMS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45419</v>
      </c>
      <c r="E164" s="1" t="n">
        <v>46296</v>
      </c>
      <c r="F164" t="inlineStr">
        <is>
          <t>VÄRMLANDS LÄN</t>
        </is>
      </c>
      <c r="G164" t="inlineStr">
        <is>
          <t>GRUMS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46296</v>
      </c>
      <c r="F165" t="inlineStr">
        <is>
          <t>VÄRMLANDS LÄN</t>
        </is>
      </c>
      <c r="G165" t="inlineStr">
        <is>
          <t>GRUMS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46296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46296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46296</v>
      </c>
      <c r="F168" t="inlineStr">
        <is>
          <t>VÄRMLANDS LÄN</t>
        </is>
      </c>
      <c r="G168" t="inlineStr">
        <is>
          <t>GRUMS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46296</v>
      </c>
      <c r="F169" t="inlineStr">
        <is>
          <t>VÄRMLANDS LÄN</t>
        </is>
      </c>
      <c r="G169" t="inlineStr">
        <is>
          <t>GRUMS</t>
        </is>
      </c>
      <c r="H169" t="inlineStr">
        <is>
          <t>Bergvik skog väst AB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46296</v>
      </c>
      <c r="F170" t="inlineStr">
        <is>
          <t>VÄRMLANDS LÄN</t>
        </is>
      </c>
      <c r="G170" t="inlineStr">
        <is>
          <t>GRUMS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45336</v>
      </c>
      <c r="E171" s="1" t="n">
        <v>46296</v>
      </c>
      <c r="F171" t="inlineStr">
        <is>
          <t>VÄRMLANDS LÄN</t>
        </is>
      </c>
      <c r="G171" t="inlineStr">
        <is>
          <t>GRUMS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45735</v>
      </c>
      <c r="E172" s="1" t="n">
        <v>46296</v>
      </c>
      <c r="F172" t="inlineStr">
        <is>
          <t>VÄRMLANDS LÄN</t>
        </is>
      </c>
      <c r="G172" t="inlineStr">
        <is>
          <t>GRUMS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46296</v>
      </c>
      <c r="F173" t="inlineStr">
        <is>
          <t>VÄRMLANDS LÄN</t>
        </is>
      </c>
      <c r="G173" t="inlineStr">
        <is>
          <t>GRUMS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46296</v>
      </c>
      <c r="F174" t="inlineStr">
        <is>
          <t>VÄRMLANDS LÄN</t>
        </is>
      </c>
      <c r="G174" t="inlineStr">
        <is>
          <t>GRUMS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66056-2021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46296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46296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7991-2024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45350</v>
      </c>
      <c r="E177" s="1" t="n">
        <v>46296</v>
      </c>
      <c r="F177" t="inlineStr">
        <is>
          <t>VÄRMLANDS LÄN</t>
        </is>
      </c>
      <c r="G177" t="inlineStr">
        <is>
          <t>GRUMS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44907</v>
      </c>
      <c r="E178" s="1" t="n">
        <v>46296</v>
      </c>
      <c r="F178" t="inlineStr">
        <is>
          <t>VÄRMLANDS LÄN</t>
        </is>
      </c>
      <c r="G178" t="inlineStr">
        <is>
          <t>GRUMS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46296</v>
      </c>
      <c r="F179" t="inlineStr">
        <is>
          <t>VÄRMLANDS LÄN</t>
        </is>
      </c>
      <c r="G179" t="inlineStr">
        <is>
          <t>GRUMS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46296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46296</v>
      </c>
      <c r="F181" t="inlineStr">
        <is>
          <t>VÄRMLANDS LÄN</t>
        </is>
      </c>
      <c r="G181" t="inlineStr">
        <is>
          <t>GRUMS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46296</v>
      </c>
      <c r="F182" t="inlineStr">
        <is>
          <t>VÄRMLANDS LÄN</t>
        </is>
      </c>
      <c r="G182" t="inlineStr">
        <is>
          <t>GRUMS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46296</v>
      </c>
      <c r="F183" t="inlineStr">
        <is>
          <t>VÄRMLANDS LÄN</t>
        </is>
      </c>
      <c r="G183" t="inlineStr">
        <is>
          <t>GRUMS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31930-2024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45510</v>
      </c>
      <c r="E184" s="1" t="n">
        <v>46296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71706-2021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46296</v>
      </c>
      <c r="F185" t="inlineStr">
        <is>
          <t>VÄRMLANDS LÄN</t>
        </is>
      </c>
      <c r="G185" t="inlineStr">
        <is>
          <t>GRUMS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40935-2022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44823</v>
      </c>
      <c r="E186" s="1" t="n">
        <v>46296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46296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46296</v>
      </c>
      <c r="F188" t="inlineStr">
        <is>
          <t>VÄRMLANDS LÄN</t>
        </is>
      </c>
      <c r="G188" t="inlineStr">
        <is>
          <t>GRUMS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46296</v>
      </c>
      <c r="F189" t="inlineStr">
        <is>
          <t>VÄRMLANDS LÄN</t>
        </is>
      </c>
      <c r="G189" t="inlineStr">
        <is>
          <t>GRUMS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45300</v>
      </c>
      <c r="E190" s="1" t="n">
        <v>46296</v>
      </c>
      <c r="F190" t="inlineStr">
        <is>
          <t>VÄRMLANDS LÄN</t>
        </is>
      </c>
      <c r="G190" t="inlineStr">
        <is>
          <t>GRUMS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44760</v>
      </c>
      <c r="E191" s="1" t="n">
        <v>46296</v>
      </c>
      <c r="F191" t="inlineStr">
        <is>
          <t>VÄRMLANDS LÄN</t>
        </is>
      </c>
      <c r="G191" t="inlineStr">
        <is>
          <t>GRUMS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6938-2024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45343</v>
      </c>
      <c r="E192" s="1" t="n">
        <v>46296</v>
      </c>
      <c r="F192" t="inlineStr">
        <is>
          <t>VÄRMLANDS LÄN</t>
        </is>
      </c>
      <c r="G192" t="inlineStr">
        <is>
          <t>GRUMS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46296</v>
      </c>
      <c r="F193" t="inlineStr">
        <is>
          <t>VÄRMLANDS LÄN</t>
        </is>
      </c>
      <c r="G193" t="inlineStr">
        <is>
          <t>GRUMS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46296</v>
      </c>
      <c r="F194" t="inlineStr">
        <is>
          <t>VÄRMLANDS LÄN</t>
        </is>
      </c>
      <c r="G194" t="inlineStr">
        <is>
          <t>GRUMS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73310-2021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44547</v>
      </c>
      <c r="E195" s="1" t="n">
        <v>46296</v>
      </c>
      <c r="F195" t="inlineStr">
        <is>
          <t>VÄRMLANDS LÄN</t>
        </is>
      </c>
      <c r="G195" t="inlineStr">
        <is>
          <t>GRUMS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45011</v>
      </c>
      <c r="E196" s="1" t="n">
        <v>46296</v>
      </c>
      <c r="F196" t="inlineStr">
        <is>
          <t>VÄRMLANDS LÄN</t>
        </is>
      </c>
      <c r="G196" t="inlineStr">
        <is>
          <t>GRUMS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45836</v>
      </c>
      <c r="E197" s="1" t="n">
        <v>46296</v>
      </c>
      <c r="F197" t="inlineStr">
        <is>
          <t>VÄRMLANDS LÄN</t>
        </is>
      </c>
      <c r="G197" t="inlineStr">
        <is>
          <t>GRUMS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46296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71781-2021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44539</v>
      </c>
      <c r="E199" s="1" t="n">
        <v>46296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46296</v>
      </c>
      <c r="F200" t="inlineStr">
        <is>
          <t>VÄRMLANDS LÄN</t>
        </is>
      </c>
      <c r="G200" t="inlineStr">
        <is>
          <t>GRUMS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46296</v>
      </c>
      <c r="F201" t="inlineStr">
        <is>
          <t>VÄRMLANDS LÄN</t>
        </is>
      </c>
      <c r="G201" t="inlineStr">
        <is>
          <t>GRUMS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46296</v>
      </c>
      <c r="F202" t="inlineStr">
        <is>
          <t>VÄRMLANDS LÄN</t>
        </is>
      </c>
      <c r="G202" t="inlineStr">
        <is>
          <t>GRUMS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46296</v>
      </c>
      <c r="F203" t="inlineStr">
        <is>
          <t>VÄRMLANDS LÄN</t>
        </is>
      </c>
      <c r="G203" t="inlineStr">
        <is>
          <t>GRUMS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46296</v>
      </c>
      <c r="F204" t="inlineStr">
        <is>
          <t>VÄRMLANDS LÄN</t>
        </is>
      </c>
      <c r="G204" t="inlineStr">
        <is>
          <t>GRUMS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44924</v>
      </c>
      <c r="E205" s="1" t="n">
        <v>46296</v>
      </c>
      <c r="F205" t="inlineStr">
        <is>
          <t>VÄRMLANDS LÄN</t>
        </is>
      </c>
      <c r="G205" t="inlineStr">
        <is>
          <t>GRUMS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46296</v>
      </c>
      <c r="F206" t="inlineStr">
        <is>
          <t>VÄRMLANDS LÄN</t>
        </is>
      </c>
      <c r="G206" t="inlineStr">
        <is>
          <t>GRUMS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46296</v>
      </c>
      <c r="F207" t="inlineStr">
        <is>
          <t>VÄRMLANDS LÄN</t>
        </is>
      </c>
      <c r="G207" t="inlineStr">
        <is>
          <t>GRUMS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46296</v>
      </c>
      <c r="F208" t="inlineStr">
        <is>
          <t>VÄRMLANDS LÄN</t>
        </is>
      </c>
      <c r="G208" t="inlineStr">
        <is>
          <t>GRUMS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45061</v>
      </c>
      <c r="E209" s="1" t="n">
        <v>46296</v>
      </c>
      <c r="F209" t="inlineStr">
        <is>
          <t>VÄRMLANDS LÄN</t>
        </is>
      </c>
      <c r="G209" t="inlineStr">
        <is>
          <t>GRUMS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44924</v>
      </c>
      <c r="E210" s="1" t="n">
        <v>46296</v>
      </c>
      <c r="F210" t="inlineStr">
        <is>
          <t>VÄRMLANDS LÄN</t>
        </is>
      </c>
      <c r="G210" t="inlineStr">
        <is>
          <t>GRUMS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46296</v>
      </c>
      <c r="F211" t="inlineStr">
        <is>
          <t>VÄRMLANDS LÄN</t>
        </is>
      </c>
      <c r="G211" t="inlineStr">
        <is>
          <t>GRUMS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46296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46296</v>
      </c>
      <c r="F213" t="inlineStr">
        <is>
          <t>VÄRMLANDS LÄN</t>
        </is>
      </c>
      <c r="G213" t="inlineStr">
        <is>
          <t>GRUMS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45877</v>
      </c>
      <c r="E214" s="1" t="n">
        <v>46296</v>
      </c>
      <c r="F214" t="inlineStr">
        <is>
          <t>VÄRMLANDS LÄN</t>
        </is>
      </c>
      <c r="G214" t="inlineStr">
        <is>
          <t>GRUMS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46296</v>
      </c>
      <c r="F215" t="inlineStr">
        <is>
          <t>VÄRMLANDS LÄN</t>
        </is>
      </c>
      <c r="G215" t="inlineStr">
        <is>
          <t>GRUMS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37495-2025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45877</v>
      </c>
      <c r="E216" s="1" t="n">
        <v>46296</v>
      </c>
      <c r="F216" t="inlineStr">
        <is>
          <t>VÄRMLANDS LÄN</t>
        </is>
      </c>
      <c r="G216" t="inlineStr">
        <is>
          <t>GRUMS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45877</v>
      </c>
      <c r="E217" s="1" t="n">
        <v>46296</v>
      </c>
      <c r="F217" t="inlineStr">
        <is>
          <t>VÄRMLANDS LÄN</t>
        </is>
      </c>
      <c r="G217" t="inlineStr">
        <is>
          <t>GRUMS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51509-2025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45950</v>
      </c>
      <c r="E218" s="1" t="n">
        <v>46296</v>
      </c>
      <c r="F218" t="inlineStr">
        <is>
          <t>VÄRMLANDS LÄN</t>
        </is>
      </c>
      <c r="G218" t="inlineStr">
        <is>
          <t>GRUMS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45956</v>
      </c>
      <c r="E219" s="1" t="n">
        <v>46296</v>
      </c>
      <c r="F219" t="inlineStr">
        <is>
          <t>VÄRMLANDS LÄN</t>
        </is>
      </c>
      <c r="G219" t="inlineStr">
        <is>
          <t>GRUMS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45956</v>
      </c>
      <c r="E220" s="1" t="n">
        <v>46296</v>
      </c>
      <c r="F220" t="inlineStr">
        <is>
          <t>VÄRMLANDS LÄN</t>
        </is>
      </c>
      <c r="G220" t="inlineStr">
        <is>
          <t>GRUMS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46296</v>
      </c>
      <c r="F221" t="inlineStr">
        <is>
          <t>VÄRMLANDS LÄN</t>
        </is>
      </c>
      <c r="G221" t="inlineStr">
        <is>
          <t>GRUMS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46296</v>
      </c>
      <c r="F222" t="inlineStr">
        <is>
          <t>VÄRMLANDS LÄN</t>
        </is>
      </c>
      <c r="G222" t="inlineStr">
        <is>
          <t>GRUMS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46296</v>
      </c>
      <c r="F223" t="inlineStr">
        <is>
          <t>VÄRMLANDS LÄN</t>
        </is>
      </c>
      <c r="G223" t="inlineStr">
        <is>
          <t>GRUMS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45986</v>
      </c>
      <c r="E224" s="1" t="n">
        <v>46296</v>
      </c>
      <c r="F224" t="inlineStr">
        <is>
          <t>VÄRMLANDS LÄN</t>
        </is>
      </c>
      <c r="G224" t="inlineStr">
        <is>
          <t>GRUMS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46296</v>
      </c>
      <c r="F225" t="inlineStr">
        <is>
          <t>VÄRMLANDS LÄN</t>
        </is>
      </c>
      <c r="G225" t="inlineStr">
        <is>
          <t>GRUMS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59391-2025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45989</v>
      </c>
      <c r="E226" s="1" t="n">
        <v>46296</v>
      </c>
      <c r="F226" t="inlineStr">
        <is>
          <t>VÄRMLANDS LÄN</t>
        </is>
      </c>
      <c r="G226" t="inlineStr">
        <is>
          <t>GRUMS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46039</v>
      </c>
      <c r="E227" s="1" t="n">
        <v>46296</v>
      </c>
      <c r="F227" t="inlineStr">
        <is>
          <t>VÄRMLANDS LÄN</t>
        </is>
      </c>
      <c r="G227" t="inlineStr">
        <is>
          <t>GRUMS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46296</v>
      </c>
      <c r="F228" t="inlineStr">
        <is>
          <t>VÄRMLANDS LÄN</t>
        </is>
      </c>
      <c r="G228" t="inlineStr">
        <is>
          <t>GRUMS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46296</v>
      </c>
      <c r="F229" t="inlineStr">
        <is>
          <t>VÄRMLANDS LÄN</t>
        </is>
      </c>
      <c r="G229" t="inlineStr">
        <is>
          <t>GRUMS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14688-2026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46101</v>
      </c>
      <c r="E230" s="1" t="n">
        <v>46296</v>
      </c>
      <c r="F230" t="inlineStr">
        <is>
          <t>VÄRMLANDS LÄN</t>
        </is>
      </c>
      <c r="G230" t="inlineStr">
        <is>
          <t>GRUMS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15549-2026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46296</v>
      </c>
      <c r="F231" t="inlineStr">
        <is>
          <t>VÄRMLANDS LÄN</t>
        </is>
      </c>
      <c r="G231" t="inlineStr">
        <is>
          <t>GRUMS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46296</v>
      </c>
      <c r="F232" t="inlineStr">
        <is>
          <t>VÄRMLANDS LÄN</t>
        </is>
      </c>
      <c r="G232" t="inlineStr">
        <is>
          <t>GRUMS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46296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46296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46296</v>
      </c>
      <c r="F235" t="inlineStr">
        <is>
          <t>VÄRMLANDS LÄN</t>
        </is>
      </c>
      <c r="G235" t="inlineStr">
        <is>
          <t>GRUMS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46296</v>
      </c>
      <c r="F236" t="inlineStr">
        <is>
          <t>VÄRMLANDS LÄN</t>
        </is>
      </c>
      <c r="G236" t="inlineStr">
        <is>
          <t>GRUMS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46296</v>
      </c>
      <c r="F237" t="inlineStr">
        <is>
          <t>VÄRMLANDS LÄN</t>
        </is>
      </c>
      <c r="G237" t="inlineStr">
        <is>
          <t>GRUMS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46296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44705</v>
      </c>
      <c r="E239" s="1" t="n">
        <v>46296</v>
      </c>
      <c r="F239" t="inlineStr">
        <is>
          <t>VÄRMLANDS LÄN</t>
        </is>
      </c>
      <c r="G239" t="inlineStr">
        <is>
          <t>GRUMS</t>
        </is>
      </c>
      <c r="I239" t="n">
        <v>12.4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46296</v>
      </c>
      <c r="F240" t="inlineStr">
        <is>
          <t>VÄRMLANDS LÄN</t>
        </is>
      </c>
      <c r="G240" t="inlineStr">
        <is>
          <t>GRUMS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46296</v>
      </c>
      <c r="F241" t="inlineStr">
        <is>
          <t>VÄRMLANDS LÄN</t>
        </is>
      </c>
      <c r="G241" t="inlineStr">
        <is>
          <t>GRUMS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45117</v>
      </c>
      <c r="E242" s="1" t="n">
        <v>46296</v>
      </c>
      <c r="F242" t="inlineStr">
        <is>
          <t>VÄRMLANDS LÄN</t>
        </is>
      </c>
      <c r="G242" t="inlineStr">
        <is>
          <t>GRUMS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46296</v>
      </c>
      <c r="F243" t="inlineStr">
        <is>
          <t>VÄRMLANDS LÄN</t>
        </is>
      </c>
      <c r="G243" t="inlineStr">
        <is>
          <t>GRUMS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71903-2021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46296</v>
      </c>
      <c r="F244" t="inlineStr">
        <is>
          <t>VÄRMLANDS LÄN</t>
        </is>
      </c>
      <c r="G244" t="inlineStr">
        <is>
          <t>GRUMS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45681</v>
      </c>
      <c r="E245" s="1" t="n">
        <v>46296</v>
      </c>
      <c r="F245" t="inlineStr">
        <is>
          <t>VÄRMLANDS LÄN</t>
        </is>
      </c>
      <c r="G245" t="inlineStr">
        <is>
          <t>GRUMS</t>
        </is>
      </c>
      <c r="H245" t="inlineStr">
        <is>
          <t>BillerudKorsnäs AB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46296</v>
      </c>
      <c r="F246" t="inlineStr">
        <is>
          <t>VÄRMLANDS LÄN</t>
        </is>
      </c>
      <c r="G246" t="inlineStr">
        <is>
          <t>GRUMS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46296</v>
      </c>
      <c r="F247" t="inlineStr">
        <is>
          <t>VÄRMLANDS LÄN</t>
        </is>
      </c>
      <c r="G247" t="inlineStr">
        <is>
          <t>GRUMS</t>
        </is>
      </c>
      <c r="H247" t="inlineStr">
        <is>
          <t>Kommuner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46296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46296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46296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46296</v>
      </c>
      <c r="F251" t="inlineStr">
        <is>
          <t>VÄRMLANDS LÄN</t>
        </is>
      </c>
      <c r="G251" t="inlineStr">
        <is>
          <t>GRUMS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26015-2026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46181</v>
      </c>
      <c r="E252" s="1" t="n">
        <v>46296</v>
      </c>
      <c r="F252" t="inlineStr">
        <is>
          <t>VÄRMLANDS LÄN</t>
        </is>
      </c>
      <c r="G252" t="inlineStr">
        <is>
          <t>GRUMS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46296</v>
      </c>
      <c r="F253" t="inlineStr">
        <is>
          <t>VÄRMLANDS LÄN</t>
        </is>
      </c>
      <c r="G253" t="inlineStr">
        <is>
          <t>GRUMS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44628</v>
      </c>
      <c r="E254" s="1" t="n">
        <v>46296</v>
      </c>
      <c r="F254" t="inlineStr">
        <is>
          <t>VÄRMLANDS LÄN</t>
        </is>
      </c>
      <c r="G254" t="inlineStr">
        <is>
          <t>GRUMS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46296</v>
      </c>
      <c r="F255" t="inlineStr">
        <is>
          <t>VÄRMLANDS LÄN</t>
        </is>
      </c>
      <c r="G255" t="inlineStr">
        <is>
          <t>GRUMS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46296</v>
      </c>
      <c r="F256" t="inlineStr">
        <is>
          <t>VÄRMLANDS LÄN</t>
        </is>
      </c>
      <c r="G256" t="inlineStr">
        <is>
          <t>GRUMS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46296</v>
      </c>
      <c r="F257" t="inlineStr">
        <is>
          <t>VÄRMLANDS LÄN</t>
        </is>
      </c>
      <c r="G257" t="inlineStr">
        <is>
          <t>GRUMS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46296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46255</v>
      </c>
      <c r="E259" s="1" t="n">
        <v>46296</v>
      </c>
      <c r="F259" t="inlineStr">
        <is>
          <t>VÄRMLANDS LÄN</t>
        </is>
      </c>
      <c r="G259" t="inlineStr">
        <is>
          <t>GRUMS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46214</v>
      </c>
      <c r="E260" s="1" t="n">
        <v>46296</v>
      </c>
      <c r="F260" t="inlineStr">
        <is>
          <t>VÄRMLANDS LÄN</t>
        </is>
      </c>
      <c r="G260" t="inlineStr">
        <is>
          <t>GRUMS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46224</v>
      </c>
      <c r="E261" s="1" t="n">
        <v>46296</v>
      </c>
      <c r="F261" t="inlineStr">
        <is>
          <t>VÄRMLANDS LÄN</t>
        </is>
      </c>
      <c r="G261" t="inlineStr">
        <is>
          <t>GRUMS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46274</v>
      </c>
      <c r="E262" s="1" t="n">
        <v>46296</v>
      </c>
      <c r="F262" t="inlineStr">
        <is>
          <t>VÄRMLANDS LÄN</t>
        </is>
      </c>
      <c r="G262" t="inlineStr">
        <is>
          <t>GRUMS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46274</v>
      </c>
      <c r="E263" s="1" t="n">
        <v>46296</v>
      </c>
      <c r="F263" t="inlineStr">
        <is>
          <t>VÄRMLANDS LÄN</t>
        </is>
      </c>
      <c r="G263" t="inlineStr">
        <is>
          <t>GRUMS</t>
        </is>
      </c>
      <c r="I263" t="n">
        <v>13.9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46244</v>
      </c>
      <c r="E264" s="1" t="n">
        <v>46296</v>
      </c>
      <c r="F264" t="inlineStr">
        <is>
          <t>VÄRMLANDS LÄN</t>
        </is>
      </c>
      <c r="G264" t="inlineStr">
        <is>
          <t>GRUMS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46296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46296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46296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46296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46296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2026-10-01T02:00:32Z</dcterms:created>
  <dcterms:modified xmlns:dcterms="http://purl.org/dc/terms/" xmlns:xsi="http://www.w3.org/2001/XMLSchema-instance" xsi:type="dcterms:W3CDTF">2026-10-01T02:00:32Z</dcterms:modified>
</cp:coreProperties>
</file>