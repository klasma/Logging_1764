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45850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45850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45850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45850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45850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45850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45850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45850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45850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45850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45850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45850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45850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11580-2020</t>
        </is>
      </c>
      <c r="B15" s="1" t="n">
        <v>43893</v>
      </c>
      <c r="C15" s="1" t="n">
        <v>45850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11580-2020 artfynd.xlsx", "A 11580-2020")</f>
        <v/>
      </c>
      <c r="T15">
        <f>HYPERLINK("https://klasma.github.io/Logging_1764/kartor/A 11580-2020 karta.png", "A 11580-2020")</f>
        <v/>
      </c>
      <c r="V15">
        <f>HYPERLINK("https://klasma.github.io/Logging_1764/klagomål/A 11580-2020 FSC-klagomål.docx", "A 11580-2020")</f>
        <v/>
      </c>
      <c r="W15">
        <f>HYPERLINK("https://klasma.github.io/Logging_1764/klagomålsmail/A 11580-2020 FSC-klagomål mail.docx", "A 11580-2020")</f>
        <v/>
      </c>
      <c r="X15">
        <f>HYPERLINK("https://klasma.github.io/Logging_1764/tillsyn/A 11580-2020 tillsynsbegäran.docx", "A 11580-2020")</f>
        <v/>
      </c>
      <c r="Y15">
        <f>HYPERLINK("https://klasma.github.io/Logging_1764/tillsynsmail/A 11580-2020 tillsynsbegäran mail.docx", "A 11580-2020")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45850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66053-2021</t>
        </is>
      </c>
      <c r="B17" s="1" t="n">
        <v>44517</v>
      </c>
      <c r="C17" s="1" t="n">
        <v>45850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45850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40441-2022</t>
        </is>
      </c>
      <c r="B19" s="1" t="n">
        <v>44819</v>
      </c>
      <c r="C19" s="1" t="n">
        <v>45850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9.199999999999999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HYPERLINK("https://klasma.github.io/Logging_1764/artfynd/A 40441-2022 artfynd.xlsx", "A 40441-2022")</f>
        <v/>
      </c>
      <c r="T19">
        <f>HYPERLINK("https://klasma.github.io/Logging_1764/kartor/A 40441-2022 karta.png", "A 40441-2022")</f>
        <v/>
      </c>
      <c r="V19">
        <f>HYPERLINK("https://klasma.github.io/Logging_1764/klagomål/A 40441-2022 FSC-klagomål.docx", "A 40441-2022")</f>
        <v/>
      </c>
      <c r="W19">
        <f>HYPERLINK("https://klasma.github.io/Logging_1764/klagomålsmail/A 40441-2022 FSC-klagomål mail.docx", "A 40441-2022")</f>
        <v/>
      </c>
      <c r="X19">
        <f>HYPERLINK("https://klasma.github.io/Logging_1764/tillsyn/A 40441-2022 tillsynsbegäran.docx", "A 40441-2022")</f>
        <v/>
      </c>
      <c r="Y19">
        <f>HYPERLINK("https://klasma.github.io/Logging_1764/tillsynsmail/A 40441-2022 tillsynsbegäran mail.docx", "A 40441-2022")</f>
        <v/>
      </c>
      <c r="Z19">
        <f>HYPERLINK("https://klasma.github.io/Logging_1764/fåglar/A 40441-2022 prioriterade fågelarter.docx", "A 40441-2022")</f>
        <v/>
      </c>
    </row>
    <row r="20" ht="15" customHeight="1">
      <c r="A20" t="inlineStr">
        <is>
          <t>A 5220-2023</t>
        </is>
      </c>
      <c r="B20" s="1" t="n">
        <v>44956</v>
      </c>
      <c r="C20" s="1" t="n">
        <v>45850</v>
      </c>
      <c r="D20" t="inlineStr">
        <is>
          <t>VÄRMLANDS LÄN</t>
        </is>
      </c>
      <c r="E20" t="inlineStr">
        <is>
          <t>GRUMS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5220-2023 artfynd.xlsx", "A 5220-2023")</f>
        <v/>
      </c>
      <c r="T20">
        <f>HYPERLINK("https://klasma.github.io/Logging_1764/kartor/A 5220-2023 karta.png", "A 5220-2023")</f>
        <v/>
      </c>
      <c r="V20">
        <f>HYPERLINK("https://klasma.github.io/Logging_1764/klagomål/A 5220-2023 FSC-klagomål.docx", "A 5220-2023")</f>
        <v/>
      </c>
      <c r="W20">
        <f>HYPERLINK("https://klasma.github.io/Logging_1764/klagomålsmail/A 5220-2023 FSC-klagomål mail.docx", "A 5220-2023")</f>
        <v/>
      </c>
      <c r="X20">
        <f>HYPERLINK("https://klasma.github.io/Logging_1764/tillsyn/A 5220-2023 tillsynsbegäran.docx", "A 5220-2023")</f>
        <v/>
      </c>
      <c r="Y20">
        <f>HYPERLINK("https://klasma.github.io/Logging_1764/tillsynsmail/A 5220-2023 tillsynsbegäran mail.docx", "A 5220-2023")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45850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23860-2023</t>
        </is>
      </c>
      <c r="B22" s="1" t="n">
        <v>45078</v>
      </c>
      <c r="C22" s="1" t="n">
        <v>45850</v>
      </c>
      <c r="D22" t="inlineStr">
        <is>
          <t>VÄRMLANDS LÄN</t>
        </is>
      </c>
      <c r="E22" t="inlineStr">
        <is>
          <t>GRUMS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HYPERLINK("https://klasma.github.io/Logging_1764/artfynd/A 23860-2023 artfynd.xlsx", "A 23860-2023")</f>
        <v/>
      </c>
      <c r="T22">
        <f>HYPERLINK("https://klasma.github.io/Logging_1764/kartor/A 23860-2023 karta.png", "A 23860-2023")</f>
        <v/>
      </c>
      <c r="V22">
        <f>HYPERLINK("https://klasma.github.io/Logging_1764/klagomål/A 23860-2023 FSC-klagomål.docx", "A 23860-2023")</f>
        <v/>
      </c>
      <c r="W22">
        <f>HYPERLINK("https://klasma.github.io/Logging_1764/klagomålsmail/A 23860-2023 FSC-klagomål mail.docx", "A 23860-2023")</f>
        <v/>
      </c>
      <c r="X22">
        <f>HYPERLINK("https://klasma.github.io/Logging_1764/tillsyn/A 23860-2023 tillsynsbegäran.docx", "A 23860-2023")</f>
        <v/>
      </c>
      <c r="Y22">
        <f>HYPERLINK("https://klasma.github.io/Logging_1764/tillsynsmail/A 23860-2023 tillsynsbegäran mail.docx", "A 23860-2023")</f>
        <v/>
      </c>
      <c r="Z22">
        <f>HYPERLINK("https://klasma.github.io/Logging_1764/fåglar/A 23860-2023 prioriterade fågelarter.docx", "A 23860-2023")</f>
        <v/>
      </c>
    </row>
    <row r="23" ht="15" customHeight="1">
      <c r="A23" t="inlineStr">
        <is>
          <t>A 8665-2024</t>
        </is>
      </c>
      <c r="B23" s="1" t="n">
        <v>45352</v>
      </c>
      <c r="C23" s="1" t="n">
        <v>45850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8665-2024 artfynd.xlsx", "A 8665-2024")</f>
        <v/>
      </c>
      <c r="T23">
        <f>HYPERLINK("https://klasma.github.io/Logging_1764/kartor/A 8665-2024 karta.png", "A 8665-2024")</f>
        <v/>
      </c>
      <c r="V23">
        <f>HYPERLINK("https://klasma.github.io/Logging_1764/klagomål/A 8665-2024 FSC-klagomål.docx", "A 8665-2024")</f>
        <v/>
      </c>
      <c r="W23">
        <f>HYPERLINK("https://klasma.github.io/Logging_1764/klagomålsmail/A 8665-2024 FSC-klagomål mail.docx", "A 8665-2024")</f>
        <v/>
      </c>
      <c r="X23">
        <f>HYPERLINK("https://klasma.github.io/Logging_1764/tillsyn/A 8665-2024 tillsynsbegäran.docx", "A 8665-2024")</f>
        <v/>
      </c>
      <c r="Y23">
        <f>HYPERLINK("https://klasma.github.io/Logging_1764/tillsynsmail/A 8665-2024 tillsynsbegäran mail.docx", "A 8665-2024")</f>
        <v/>
      </c>
    </row>
    <row r="24" ht="15" customHeight="1">
      <c r="A24" t="inlineStr">
        <is>
          <t>A 28237-2024</t>
        </is>
      </c>
      <c r="B24" s="1" t="n">
        <v>45477</v>
      </c>
      <c r="C24" s="1" t="n">
        <v>45850</v>
      </c>
      <c r="D24" t="inlineStr">
        <is>
          <t>VÄRMLANDS LÄN</t>
        </is>
      </c>
      <c r="E24" t="inlineStr">
        <is>
          <t>GRUMS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HYPERLINK("https://klasma.github.io/Logging_1764/artfynd/A 28237-2024 artfynd.xlsx", "A 28237-2024")</f>
        <v/>
      </c>
      <c r="T24">
        <f>HYPERLINK("https://klasma.github.io/Logging_1764/kartor/A 28237-2024 karta.png", "A 28237-2024")</f>
        <v/>
      </c>
      <c r="V24">
        <f>HYPERLINK("https://klasma.github.io/Logging_1764/klagomål/A 28237-2024 FSC-klagomål.docx", "A 28237-2024")</f>
        <v/>
      </c>
      <c r="W24">
        <f>HYPERLINK("https://klasma.github.io/Logging_1764/klagomålsmail/A 28237-2024 FSC-klagomål mail.docx", "A 28237-2024")</f>
        <v/>
      </c>
      <c r="X24">
        <f>HYPERLINK("https://klasma.github.io/Logging_1764/tillsyn/A 28237-2024 tillsynsbegäran.docx", "A 28237-2024")</f>
        <v/>
      </c>
      <c r="Y24">
        <f>HYPERLINK("https://klasma.github.io/Logging_1764/tillsynsmail/A 28237-2024 tillsynsbegäran mail.docx", "A 28237-2024")</f>
        <v/>
      </c>
    </row>
    <row r="25" ht="15" customHeight="1">
      <c r="A25" t="inlineStr">
        <is>
          <t>A 30828-2024</t>
        </is>
      </c>
      <c r="B25" s="1" t="n">
        <v>45497</v>
      </c>
      <c r="C25" s="1" t="n">
        <v>45850</v>
      </c>
      <c r="D25" t="inlineStr">
        <is>
          <t>VÄRMLANDS LÄN</t>
        </is>
      </c>
      <c r="E25" t="inlineStr">
        <is>
          <t>GRUMS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HYPERLINK("https://klasma.github.io/Logging_1764/artfynd/A 30828-2024 artfynd.xlsx", "A 30828-2024")</f>
        <v/>
      </c>
      <c r="T25">
        <f>HYPERLINK("https://klasma.github.io/Logging_1764/kartor/A 30828-2024 karta.png", "A 30828-2024")</f>
        <v/>
      </c>
      <c r="V25">
        <f>HYPERLINK("https://klasma.github.io/Logging_1764/klagomål/A 30828-2024 FSC-klagomål.docx", "A 30828-2024")</f>
        <v/>
      </c>
      <c r="W25">
        <f>HYPERLINK("https://klasma.github.io/Logging_1764/klagomålsmail/A 30828-2024 FSC-klagomål mail.docx", "A 30828-2024")</f>
        <v/>
      </c>
      <c r="X25">
        <f>HYPERLINK("https://klasma.github.io/Logging_1764/tillsyn/A 30828-2024 tillsynsbegäran.docx", "A 30828-2024")</f>
        <v/>
      </c>
      <c r="Y25">
        <f>HYPERLINK("https://klasma.github.io/Logging_1764/tillsynsmail/A 30828-2024 tillsynsbegäran mail.docx", "A 30828-2024")</f>
        <v/>
      </c>
    </row>
    <row r="26" ht="15" customHeight="1">
      <c r="A26" t="inlineStr">
        <is>
          <t>A 35077-2024</t>
        </is>
      </c>
      <c r="B26" s="1" t="n">
        <v>45527</v>
      </c>
      <c r="C26" s="1" t="n">
        <v>45850</v>
      </c>
      <c r="D26" t="inlineStr">
        <is>
          <t>VÄRMLANDS LÄN</t>
        </is>
      </c>
      <c r="E26" t="inlineStr">
        <is>
          <t>GRUMS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HYPERLINK("https://klasma.github.io/Logging_1764/artfynd/A 35077-2024 artfynd.xlsx", "A 35077-2024")</f>
        <v/>
      </c>
      <c r="T26">
        <f>HYPERLINK("https://klasma.github.io/Logging_1764/kartor/A 35077-2024 karta.png", "A 35077-2024")</f>
        <v/>
      </c>
      <c r="U26">
        <f>HYPERLINK("https://klasma.github.io/Logging_1764/knärot/A 35077-2024 karta knärot.png", "A 35077-2024")</f>
        <v/>
      </c>
      <c r="V26">
        <f>HYPERLINK("https://klasma.github.io/Logging_1764/klagomål/A 35077-2024 FSC-klagomål.docx", "A 35077-2024")</f>
        <v/>
      </c>
      <c r="W26">
        <f>HYPERLINK("https://klasma.github.io/Logging_1764/klagomålsmail/A 35077-2024 FSC-klagomål mail.docx", "A 35077-2024")</f>
        <v/>
      </c>
      <c r="X26">
        <f>HYPERLINK("https://klasma.github.io/Logging_1764/tillsyn/A 35077-2024 tillsynsbegäran.docx", "A 35077-2024")</f>
        <v/>
      </c>
      <c r="Y26">
        <f>HYPERLINK("https://klasma.github.io/Logging_1764/tillsynsmail/A 35077-2024 tillsynsbegäran mail.docx", "A 35077-2024")</f>
        <v/>
      </c>
    </row>
    <row r="27" ht="15" customHeight="1">
      <c r="A27" t="inlineStr">
        <is>
          <t>A 38420-2024</t>
        </is>
      </c>
      <c r="B27" s="1" t="n">
        <v>45546</v>
      </c>
      <c r="C27" s="1" t="n">
        <v>45850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HYPERLINK("https://klasma.github.io/Logging_1764/artfynd/A 38420-2024 artfynd.xlsx", "A 38420-2024")</f>
        <v/>
      </c>
      <c r="T27">
        <f>HYPERLINK("https://klasma.github.io/Logging_1764/kartor/A 38420-2024 karta.png", "A 38420-2024")</f>
        <v/>
      </c>
      <c r="V27">
        <f>HYPERLINK("https://klasma.github.io/Logging_1764/klagomål/A 38420-2024 FSC-klagomål.docx", "A 38420-2024")</f>
        <v/>
      </c>
      <c r="W27">
        <f>HYPERLINK("https://klasma.github.io/Logging_1764/klagomålsmail/A 38420-2024 FSC-klagomål mail.docx", "A 38420-2024")</f>
        <v/>
      </c>
      <c r="X27">
        <f>HYPERLINK("https://klasma.github.io/Logging_1764/tillsyn/A 38420-2024 tillsynsbegäran.docx", "A 38420-2024")</f>
        <v/>
      </c>
      <c r="Y27">
        <f>HYPERLINK("https://klasma.github.io/Logging_1764/tillsynsmail/A 38420-2024 tillsynsbegäran mail.docx", "A 38420-2024")</f>
        <v/>
      </c>
    </row>
    <row r="28" ht="15" customHeight="1">
      <c r="A28" t="inlineStr">
        <is>
          <t>A 56071-2024</t>
        </is>
      </c>
      <c r="B28" s="1" t="n">
        <v>45624</v>
      </c>
      <c r="C28" s="1" t="n">
        <v>45850</v>
      </c>
      <c r="D28" t="inlineStr">
        <is>
          <t>VÄRMLANDS LÄN</t>
        </is>
      </c>
      <c r="E28" t="inlineStr">
        <is>
          <t>GRUMS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HYPERLINK("https://klasma.github.io/Logging_1764/artfynd/A 56071-2024 artfynd.xlsx", "A 56071-2024")</f>
        <v/>
      </c>
      <c r="T28">
        <f>HYPERLINK("https://klasma.github.io/Logging_1764/kartor/A 56071-2024 karta.png", "A 56071-2024")</f>
        <v/>
      </c>
      <c r="V28">
        <f>HYPERLINK("https://klasma.github.io/Logging_1764/klagomål/A 56071-2024 FSC-klagomål.docx", "A 56071-2024")</f>
        <v/>
      </c>
      <c r="W28">
        <f>HYPERLINK("https://klasma.github.io/Logging_1764/klagomålsmail/A 56071-2024 FSC-klagomål mail.docx", "A 56071-2024")</f>
        <v/>
      </c>
      <c r="X28">
        <f>HYPERLINK("https://klasma.github.io/Logging_1764/tillsyn/A 56071-2024 tillsynsbegäran.docx", "A 56071-2024")</f>
        <v/>
      </c>
      <c r="Y28">
        <f>HYPERLINK("https://klasma.github.io/Logging_1764/tillsynsmail/A 56071-2024 tillsynsbegäran mail.docx", "A 56071-2024")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45850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26662-2025</t>
        </is>
      </c>
      <c r="B30" s="1" t="n">
        <v>45810</v>
      </c>
      <c r="C30" s="1" t="n">
        <v>45850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HYPERLINK("https://klasma.github.io/Logging_171764/artfynd/A 26662-2025 artfynd.xlsx", "A 26662-2025")</f>
        <v/>
      </c>
      <c r="T30">
        <f>HYPERLINK("https://klasma.github.io/Logging_171764/kartor/A 26662-2025 karta.png", "A 26662-2025")</f>
        <v/>
      </c>
      <c r="V30">
        <f>HYPERLINK("https://klasma.github.io/Logging_171764/klagomål/A 26662-2025 FSC-klagomål.docx", "A 26662-2025")</f>
        <v/>
      </c>
      <c r="W30">
        <f>HYPERLINK("https://klasma.github.io/Logging_171764/klagomålsmail/A 26662-2025 FSC-klagomål mail.docx", "A 26662-2025")</f>
        <v/>
      </c>
      <c r="X30">
        <f>HYPERLINK("https://klasma.github.io/Logging_171764/tillsyn/A 26662-2025 tillsynsbegäran.docx", "A 26662-2025")</f>
        <v/>
      </c>
      <c r="Y30">
        <f>HYPERLINK("https://klasma.github.io/Logging_171764/tillsynsmail/A 26662-2025 tillsynsbegäran mail.docx", "A 26662-2025")</f>
        <v/>
      </c>
    </row>
    <row r="31" ht="15" customHeight="1">
      <c r="A31" t="inlineStr">
        <is>
          <t>A 30406-2025</t>
        </is>
      </c>
      <c r="B31" s="1" t="n">
        <v>45827</v>
      </c>
      <c r="C31" s="1" t="n">
        <v>45850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HYPERLINK("https://klasma.github.io/Logging_171764/artfynd/A 30406-2025 artfynd.xlsx", "A 30406-2025")</f>
        <v/>
      </c>
      <c r="T31">
        <f>HYPERLINK("https://klasma.github.io/Logging_171764/kartor/A 30406-2025 karta.png", "A 30406-2025")</f>
        <v/>
      </c>
      <c r="V31">
        <f>HYPERLINK("https://klasma.github.io/Logging_171764/klagomål/A 30406-2025 FSC-klagomål.docx", "A 30406-2025")</f>
        <v/>
      </c>
      <c r="W31">
        <f>HYPERLINK("https://klasma.github.io/Logging_171764/klagomålsmail/A 30406-2025 FSC-klagomål mail.docx", "A 30406-2025")</f>
        <v/>
      </c>
      <c r="X31">
        <f>HYPERLINK("https://klasma.github.io/Logging_171764/tillsyn/A 30406-2025 tillsynsbegäran.docx", "A 30406-2025")</f>
        <v/>
      </c>
      <c r="Y31">
        <f>HYPERLINK("https://klasma.github.io/Logging_171764/tillsynsmail/A 30406-2025 tillsynsbegäran mail.docx", "A 30406-2025")</f>
        <v/>
      </c>
      <c r="Z31">
        <f>HYPERLINK("https://klasma.github.io/Logging_171764/fåglar/A 30406-2025 prioriterade fågelarter.docx", "A 30406-2025")</f>
        <v/>
      </c>
    </row>
    <row r="32" ht="15" customHeight="1">
      <c r="A32" t="inlineStr">
        <is>
          <t>A 17868-2019</t>
        </is>
      </c>
      <c r="B32" s="1" t="n">
        <v>43557</v>
      </c>
      <c r="C32" s="1" t="n">
        <v>45850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45850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45850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45850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45850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45850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45850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45850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45850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45850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45850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45850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45850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45850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45850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45850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45850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45850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45850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45850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45850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45850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45850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45850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45850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45850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45850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45850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45850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45850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45850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45850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45850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45850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45850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45850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45850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45850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45850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45850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45850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45850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45850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45850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45850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45850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12152-2020</t>
        </is>
      </c>
      <c r="B78" s="1" t="n">
        <v>43891</v>
      </c>
      <c r="C78" s="1" t="n">
        <v>45850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12149-2020</t>
        </is>
      </c>
      <c r="B79" s="1" t="n">
        <v>43891</v>
      </c>
      <c r="C79" s="1" t="n">
        <v>45850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11141-2020</t>
        </is>
      </c>
      <c r="B80" s="1" t="n">
        <v>43891</v>
      </c>
      <c r="C80" s="1" t="n">
        <v>45850</v>
      </c>
      <c r="D80" t="inlineStr">
        <is>
          <t>VÄRMLANDS LÄN</t>
        </is>
      </c>
      <c r="E80" t="inlineStr">
        <is>
          <t>GRUMS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45850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45850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45850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45850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45850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45850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45850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45850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45850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45850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45850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45850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45850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45850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45850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45850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45850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45850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45850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45850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45850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45850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45850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45850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45850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45850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45850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45850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45850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45850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45850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45850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45850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45850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45850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45850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45850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45850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45850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45850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45850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45850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45850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45850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45850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45850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45850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45850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45850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45850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45850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45850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45850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45850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45850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45850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45850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45850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45850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45850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45850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45850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45850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45850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45850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45850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45850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45850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45850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45850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45850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45850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45850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45850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45850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45850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45850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45850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45850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45850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45850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45850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45850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45850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45850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45850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45850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45850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45850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45850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45850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45850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45850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45850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45850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45850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45850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45850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45850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45850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45850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45850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45850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45850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45850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45850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45850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45850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45850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45850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45850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45850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45850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45850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45850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45850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45850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45850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45850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45850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45850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45850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45850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45850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45850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45850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45850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45850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45850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45850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45850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45850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45850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45850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45850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45850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45850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45850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45850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45850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45850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45850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45850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45850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45850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45850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45850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45850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45850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45850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45850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45850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45850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45850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45850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45850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45850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45850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45850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45850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45850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45850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45850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45850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45850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45850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45850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45850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45850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45850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45850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45850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45850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45850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45850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45850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45850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45850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45850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45850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45850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45850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45850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45850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45850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45850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45850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45850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45850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45850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45850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45850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45850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45850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45850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45850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45850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45850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45850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45850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45850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45850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45850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45850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45850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45850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45850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45850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45850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45850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45850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45850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45850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45850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45850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45850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45850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45850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45850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45850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45850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45850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45850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45850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45850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45850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45850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45850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45850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45850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45850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45850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45850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45850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45850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45850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45850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45850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45850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45850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45850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45850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45850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45850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45850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45850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45850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45850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45850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45850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45850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45850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45850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45850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45850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45850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45850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45850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45850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45850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45850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45850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45850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45850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45850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45850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45850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45850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45850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45850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45850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45850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45850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45850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45850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45850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45850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45850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45850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45850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45850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45850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45850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45850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45850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45850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45850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45850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45850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45850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45850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45850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45850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45850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45850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45850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45850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45850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45850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45850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45850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45850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45850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45850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45850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45850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45850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45850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45850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45850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45850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45850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45850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45850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45850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45850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45850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45850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45850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45850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45850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45850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45850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45850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45850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45850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45850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45850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45850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45850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45850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45850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45850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45850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45850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45850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45850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45850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45850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45850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45850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45850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45850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45850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45850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45850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45850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45850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45850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45850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45850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45850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45850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45850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45850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45850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45850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45850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45850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45850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45850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45850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45850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45850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45850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45850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45850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45850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45850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45850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45850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45850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45850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45850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45850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45850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45850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45850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45850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45850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45850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45850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45850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45850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45850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45850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45850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45850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45850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45850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45850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45850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45850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45850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45850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45850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45850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45850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45850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45850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45850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45850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45850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45850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45850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45850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45850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45850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45850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45850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45850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45850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45850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45850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45850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45850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45850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45850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45850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45850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45850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45850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45850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45850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45850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45850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45850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45850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45850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45850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45850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45850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45850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45850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45850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45850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45850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45850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45850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45850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45850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45850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45850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45850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45850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45850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45850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45850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45850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45850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45850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45850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45850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45850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45850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45850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45850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45850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2025-07-12T19:25:41Z</dcterms:created>
  <dcterms:modified xmlns:dcterms="http://purl.org/dc/terms/" xmlns:xsi="http://www.w3.org/2001/XMLSchema-instance" xsi:type="dcterms:W3CDTF">2025-07-12T19:25:41Z</dcterms:modified>
</cp:coreProperties>
</file>